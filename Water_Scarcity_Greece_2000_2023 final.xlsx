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fa428a0ae42e1d/Υπολογιστής/Water Scarcity/"/>
    </mc:Choice>
  </mc:AlternateContent>
  <xr:revisionPtr revIDLastSave="1" documentId="8_{9665F55A-D9D7-4E8C-AF69-4BEFB8371F43}" xr6:coauthVersionLast="47" xr6:coauthVersionMax="47" xr10:uidLastSave="{8B431EBE-CCAF-4CC9-BD27-197DB0C25F57}"/>
  <bookViews>
    <workbookView xWindow="-98" yWindow="-98" windowWidth="21795" windowHeight="12975" activeTab="5" xr2:uid="{14AE6F7E-C0FE-43AC-8749-A9B79FBE5181}"/>
  </bookViews>
  <sheets>
    <sheet name="Raw_Abstraction" sheetId="1" r:id="rId1"/>
    <sheet name="Raw_Use" sheetId="2" r:id="rId2"/>
    <sheet name="Clean_Data" sheetId="3" r:id="rId3"/>
    <sheet name="Charts" sheetId="5" r:id="rId4"/>
    <sheet name="KPIs" sheetId="4" r:id="rId5"/>
    <sheet name="Insights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7" i="3" l="1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AA30" i="2"/>
  <c r="Z30" i="2"/>
  <c r="Y30" i="2"/>
  <c r="X30" i="2"/>
  <c r="W30" i="2"/>
  <c r="V30" i="2"/>
  <c r="U30" i="2"/>
  <c r="T30" i="2"/>
  <c r="S30" i="2"/>
  <c r="R30" i="2"/>
  <c r="Q30" i="2"/>
  <c r="P30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AA42" i="1"/>
  <c r="Z42" i="1"/>
  <c r="Y42" i="1"/>
  <c r="X42" i="1"/>
  <c r="L39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L37" i="1"/>
  <c r="K37" i="1"/>
  <c r="J37" i="1"/>
  <c r="I37" i="1"/>
  <c r="H37" i="1"/>
  <c r="G37" i="1"/>
  <c r="F37" i="1"/>
  <c r="E37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L35" i="1"/>
  <c r="K35" i="1"/>
  <c r="J35" i="1"/>
  <c r="I35" i="1"/>
  <c r="H35" i="1"/>
  <c r="G35" i="1"/>
  <c r="F35" i="1"/>
  <c r="E35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L33" i="1"/>
  <c r="K33" i="1"/>
  <c r="J33" i="1"/>
  <c r="I33" i="1"/>
  <c r="H33" i="1"/>
  <c r="G33" i="1"/>
  <c r="F33" i="1"/>
  <c r="E33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L32" i="1"/>
  <c r="K32" i="1"/>
  <c r="J32" i="1"/>
  <c r="I32" i="1"/>
  <c r="H32" i="1"/>
  <c r="G32" i="1"/>
  <c r="F32" i="1"/>
  <c r="E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L31" i="1"/>
  <c r="K31" i="1"/>
  <c r="J31" i="1"/>
  <c r="I31" i="1"/>
  <c r="H31" i="1"/>
  <c r="G31" i="1"/>
  <c r="F31" i="1"/>
  <c r="E31" i="1"/>
</calcChain>
</file>

<file path=xl/sharedStrings.xml><?xml version="1.0" encoding="utf-8"?>
<sst xmlns="http://schemas.openxmlformats.org/spreadsheetml/2006/main" count="945" uniqueCount="67">
  <si>
    <r>
      <t xml:space="preserve">Table 1. Water abstraction by source </t>
    </r>
    <r>
      <rPr>
        <b/>
        <vertAlign val="superscript"/>
        <sz val="12"/>
        <rFont val="Calibri"/>
        <family val="2"/>
        <charset val="161"/>
      </rPr>
      <t xml:space="preserve">(1)  </t>
    </r>
    <r>
      <rPr>
        <b/>
        <sz val="12"/>
        <rFont val="Calibri"/>
        <family val="2"/>
        <charset val="161"/>
      </rPr>
      <t xml:space="preserve">and by sector </t>
    </r>
  </si>
  <si>
    <r>
      <t>In 10</t>
    </r>
    <r>
      <rPr>
        <b/>
        <vertAlign val="superscript"/>
        <sz val="9"/>
        <rFont val="Calibri"/>
        <family val="2"/>
        <charset val="161"/>
      </rPr>
      <t>6</t>
    </r>
    <r>
      <rPr>
        <b/>
        <sz val="9"/>
        <rFont val="Calibri"/>
        <family val="2"/>
        <charset val="161"/>
      </rPr>
      <t xml:space="preserve"> m</t>
    </r>
    <r>
      <rPr>
        <b/>
        <vertAlign val="superscript"/>
        <sz val="9"/>
        <rFont val="Calibri"/>
        <family val="2"/>
        <charset val="161"/>
      </rPr>
      <t>3</t>
    </r>
  </si>
  <si>
    <t>ΕΛΛΑΔΑ</t>
  </si>
  <si>
    <t>SOURCE</t>
  </si>
  <si>
    <t>SECTOR</t>
  </si>
  <si>
    <t>NACE Rev. 2</t>
  </si>
  <si>
    <t>2023*</t>
  </si>
  <si>
    <t>Fresh surface water</t>
  </si>
  <si>
    <t>TOTAL</t>
  </si>
  <si>
    <t>:</t>
  </si>
  <si>
    <t>Public Water Supply</t>
  </si>
  <si>
    <t>Agriculture, Forestry, Fishing</t>
  </si>
  <si>
    <t>01 - 03</t>
  </si>
  <si>
    <t>of which for:</t>
  </si>
  <si>
    <t>Irrigation</t>
  </si>
  <si>
    <t>Aquaculture</t>
  </si>
  <si>
    <t>Mining and quarring</t>
  </si>
  <si>
    <t>05 - 09</t>
  </si>
  <si>
    <r>
      <t>:</t>
    </r>
    <r>
      <rPr>
        <vertAlign val="superscript"/>
        <sz val="9"/>
        <rFont val="Calibri"/>
        <family val="2"/>
        <charset val="161"/>
      </rPr>
      <t xml:space="preserve"> ( c )</t>
    </r>
  </si>
  <si>
    <r>
      <t>:</t>
    </r>
    <r>
      <rPr>
        <vertAlign val="superscript"/>
        <sz val="10"/>
        <rFont val="Calibri"/>
        <family val="2"/>
        <charset val="161"/>
        <scheme val="minor"/>
      </rPr>
      <t xml:space="preserve"> ( c )</t>
    </r>
  </si>
  <si>
    <t>Manufacturing industry</t>
  </si>
  <si>
    <t>10 - 33</t>
  </si>
  <si>
    <t>Production of electricity (cooling)</t>
  </si>
  <si>
    <t>35.11 - 35.13</t>
  </si>
  <si>
    <t>Construction</t>
  </si>
  <si>
    <t>41 - 43</t>
  </si>
  <si>
    <t>Services</t>
  </si>
  <si>
    <t>45 - 99</t>
  </si>
  <si>
    <t>Private households</t>
  </si>
  <si>
    <t>Fresh groundwater</t>
  </si>
  <si>
    <t>Fresh  water - TOTAL</t>
  </si>
  <si>
    <t>FOOTNOTES:</t>
  </si>
  <si>
    <t xml:space="preserve">(1) Single Integrated Metadata Structure (SIMS):  Statistical presentation , Statistical concepts and definitions. </t>
  </si>
  <si>
    <t>http://www.statistics.gr/en/statistics/-/publication/SOP07/-</t>
  </si>
  <si>
    <t>: not  available data</t>
  </si>
  <si>
    <r>
      <t xml:space="preserve">: </t>
    </r>
    <r>
      <rPr>
        <vertAlign val="superscript"/>
        <sz val="8"/>
        <rFont val="Calibri"/>
        <family val="2"/>
        <charset val="161"/>
      </rPr>
      <t xml:space="preserve">( c )  </t>
    </r>
    <r>
      <rPr>
        <sz val="8"/>
        <rFont val="Calibri"/>
        <family val="2"/>
        <charset val="161"/>
      </rPr>
      <t>confidential data</t>
    </r>
  </si>
  <si>
    <t>*: Provisional Data</t>
  </si>
  <si>
    <r>
      <t>Table 2. Water use by supply category</t>
    </r>
    <r>
      <rPr>
        <b/>
        <vertAlign val="superscript"/>
        <sz val="12"/>
        <rFont val="Calibri"/>
        <family val="2"/>
        <charset val="161"/>
      </rPr>
      <t xml:space="preserve">(1)   </t>
    </r>
    <r>
      <rPr>
        <b/>
        <sz val="12"/>
        <rFont val="Calibri"/>
        <family val="2"/>
        <charset val="161"/>
      </rPr>
      <t>and by sector</t>
    </r>
    <r>
      <rPr>
        <b/>
        <vertAlign val="superscript"/>
        <sz val="12"/>
        <rFont val="Calibri"/>
        <family val="2"/>
        <charset val="161"/>
      </rPr>
      <t xml:space="preserve"> </t>
    </r>
  </si>
  <si>
    <r>
      <t>In  10</t>
    </r>
    <r>
      <rPr>
        <b/>
        <vertAlign val="superscript"/>
        <sz val="9"/>
        <rFont val="Calibri"/>
        <family val="2"/>
        <charset val="161"/>
      </rPr>
      <t>6</t>
    </r>
    <r>
      <rPr>
        <b/>
        <sz val="9"/>
        <rFont val="Calibri"/>
        <family val="2"/>
        <charset val="161"/>
      </rPr>
      <t xml:space="preserve"> m</t>
    </r>
    <r>
      <rPr>
        <b/>
        <vertAlign val="superscript"/>
        <sz val="9"/>
        <rFont val="Calibri"/>
        <family val="2"/>
        <charset val="161"/>
      </rPr>
      <t>3</t>
    </r>
  </si>
  <si>
    <t>SUPPLY CATEGORY</t>
  </si>
  <si>
    <t>Public water supply</t>
  </si>
  <si>
    <t>Year</t>
  </si>
  <si>
    <t>Total Abstraction</t>
  </si>
  <si>
    <t>Total_Use</t>
  </si>
  <si>
    <t xml:space="preserve"> Agriculture_Use</t>
  </si>
  <si>
    <t>Industry_Use</t>
  </si>
  <si>
    <t>Households_Use</t>
  </si>
  <si>
    <t xml:space="preserve"> Irrigation_Use</t>
  </si>
  <si>
    <t>Water_Stress_Index</t>
  </si>
  <si>
    <t xml:space="preserve"> Notes 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</si>
  <si>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</si>
  <si>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</si>
  <si>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</si>
  <si>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</si>
  <si>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</si>
  <si>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</si>
  <si>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</si>
  <si>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</si>
  <si>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</si>
  <si>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Total_Abstraction</t>
  </si>
  <si>
    <t>Stress_%</t>
  </si>
  <si>
    <t>Since 2011, total water use in Greece remains consistently close to total abstraction, indicating limited buffer capacity and structurally high water stress</t>
  </si>
  <si>
    <t>Sector</t>
  </si>
  <si>
    <t>Value</t>
  </si>
  <si>
    <t>Agriculture</t>
  </si>
  <si>
    <t>Industry</t>
  </si>
  <si>
    <t>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</si>
</sst>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1" x14ac:knownFonts="1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sz val="12"/>
      <name val="Calibri"/>
      <family val="2"/>
      <charset val="161"/>
    </font>
    <font>
      <b/>
      <vertAlign val="superscript"/>
      <sz val="12"/>
      <name val="Calibri"/>
      <family val="2"/>
      <charset val="161"/>
    </font>
    <font>
      <b/>
      <sz val="9"/>
      <name val="Calibri"/>
      <family val="2"/>
      <charset val="161"/>
    </font>
    <font>
      <b/>
      <vertAlign val="superscript"/>
      <sz val="9"/>
      <name val="Calibri"/>
      <family val="2"/>
      <charset val="161"/>
    </font>
    <font>
      <b/>
      <sz val="7"/>
      <name val="Arial Greek"/>
      <family val="2"/>
      <charset val="161"/>
    </font>
    <font>
      <sz val="7"/>
      <name val="Arial Greek"/>
      <family val="2"/>
      <charset val="161"/>
    </font>
    <font>
      <sz val="10"/>
      <color rgb="FFFF0000"/>
      <name val="Arial Greek"/>
      <charset val="161"/>
    </font>
    <font>
      <sz val="9"/>
      <name val="Calibri"/>
      <family val="2"/>
      <charset val="161"/>
    </font>
    <font>
      <i/>
      <sz val="8"/>
      <name val="Calibri"/>
      <family val="2"/>
      <charset val="161"/>
    </font>
    <font>
      <b/>
      <sz val="9"/>
      <name val="Calibri"/>
      <family val="2"/>
      <charset val="161"/>
      <scheme val="minor"/>
    </font>
    <font>
      <sz val="10"/>
      <name val="Arial Greek"/>
      <family val="2"/>
      <charset val="161"/>
    </font>
    <font>
      <sz val="9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i/>
      <sz val="9"/>
      <name val="Calibri"/>
      <family val="2"/>
      <charset val="161"/>
    </font>
    <font>
      <i/>
      <sz val="9"/>
      <name val="Calibri"/>
      <family val="2"/>
      <charset val="161"/>
    </font>
    <font>
      <i/>
      <sz val="10"/>
      <name val="Calibri"/>
      <family val="2"/>
      <charset val="161"/>
      <scheme val="minor"/>
    </font>
    <font>
      <i/>
      <sz val="9"/>
      <name val="Calibri"/>
      <family val="2"/>
      <charset val="161"/>
      <scheme val="minor"/>
    </font>
    <font>
      <vertAlign val="superscript"/>
      <sz val="9"/>
      <name val="Calibri"/>
      <family val="2"/>
      <charset val="161"/>
    </font>
    <font>
      <vertAlign val="superscript"/>
      <sz val="10"/>
      <name val="Calibri"/>
      <family val="2"/>
      <charset val="161"/>
      <scheme val="minor"/>
    </font>
    <font>
      <i/>
      <sz val="6"/>
      <name val="Arial Greek"/>
      <family val="2"/>
      <charset val="161"/>
    </font>
    <font>
      <b/>
      <sz val="8"/>
      <name val="Calibri"/>
      <family val="2"/>
      <charset val="161"/>
    </font>
    <font>
      <sz val="8"/>
      <name val="Calibri"/>
      <family val="2"/>
      <charset val="161"/>
    </font>
    <font>
      <sz val="10"/>
      <name val="Arial Greek"/>
      <charset val="161"/>
    </font>
    <font>
      <u/>
      <sz val="8"/>
      <color theme="10"/>
      <name val="Calibri"/>
      <family val="2"/>
      <charset val="161"/>
      <scheme val="minor"/>
    </font>
    <font>
      <vertAlign val="superscript"/>
      <sz val="8"/>
      <name val="Calibri"/>
      <family val="2"/>
      <charset val="161"/>
    </font>
    <font>
      <sz val="10"/>
      <name val="Arial"/>
      <family val="2"/>
      <charset val="161"/>
    </font>
    <font>
      <u/>
      <sz val="8"/>
      <color theme="10"/>
      <name val="Calibri"/>
      <family val="2"/>
      <charset val="161"/>
    </font>
    <font>
      <b/>
      <sz val="11"/>
      <color theme="0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left" vertical="center"/>
    </xf>
    <xf numFmtId="0" fontId="13" fillId="4" borderId="3" xfId="0" applyFont="1" applyFill="1" applyBorder="1"/>
    <xf numFmtId="4" fontId="11" fillId="4" borderId="3" xfId="0" applyNumberFormat="1" applyFont="1" applyFill="1" applyBorder="1" applyAlignment="1">
      <alignment horizontal="right"/>
    </xf>
    <xf numFmtId="4" fontId="11" fillId="4" borderId="8" xfId="0" applyNumberFormat="1" applyFont="1" applyFill="1" applyBorder="1" applyAlignment="1">
      <alignment horizontal="right"/>
    </xf>
    <xf numFmtId="4" fontId="11" fillId="4" borderId="3" xfId="0" applyNumberFormat="1" applyFont="1" applyFill="1" applyBorder="1" applyProtection="1">
      <protection locked="0"/>
    </xf>
    <xf numFmtId="4" fontId="11" fillId="4" borderId="3" xfId="0" applyNumberFormat="1" applyFont="1" applyFill="1" applyBorder="1"/>
    <xf numFmtId="0" fontId="9" fillId="0" borderId="3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" fontId="7" fillId="2" borderId="3" xfId="0" applyNumberFormat="1" applyFont="1" applyFill="1" applyBorder="1"/>
    <xf numFmtId="4" fontId="9" fillId="3" borderId="3" xfId="0" applyNumberFormat="1" applyFont="1" applyFill="1" applyBorder="1" applyAlignment="1">
      <alignment horizontal="right"/>
    </xf>
    <xf numFmtId="4" fontId="14" fillId="3" borderId="3" xfId="0" applyNumberFormat="1" applyFont="1" applyFill="1" applyBorder="1" applyAlignment="1">
      <alignment horizontal="right"/>
    </xf>
    <xf numFmtId="0" fontId="9" fillId="0" borderId="10" xfId="0" applyFont="1" applyBorder="1" applyAlignment="1">
      <alignment horizontal="center" vertical="center"/>
    </xf>
    <xf numFmtId="4" fontId="7" fillId="2" borderId="4" xfId="0" applyNumberFormat="1" applyFont="1" applyFill="1" applyBorder="1"/>
    <xf numFmtId="0" fontId="15" fillId="0" borderId="10" xfId="0" applyFont="1" applyBorder="1" applyAlignment="1">
      <alignment horizontal="center" vertical="center"/>
    </xf>
    <xf numFmtId="4" fontId="16" fillId="3" borderId="3" xfId="0" applyNumberFormat="1" applyFont="1" applyFill="1" applyBorder="1" applyAlignment="1">
      <alignment horizontal="right"/>
    </xf>
    <xf numFmtId="0" fontId="14" fillId="0" borderId="0" xfId="0" applyFont="1"/>
    <xf numFmtId="0" fontId="14" fillId="0" borderId="11" xfId="0" applyFont="1" applyBorder="1"/>
    <xf numFmtId="0" fontId="16" fillId="0" borderId="10" xfId="0" applyFont="1" applyBorder="1" applyAlignment="1">
      <alignment horizontal="center" vertical="center"/>
    </xf>
    <xf numFmtId="4" fontId="17" fillId="3" borderId="3" xfId="0" applyNumberFormat="1" applyFont="1" applyFill="1" applyBorder="1" applyAlignment="1">
      <alignment horizontal="right"/>
    </xf>
    <xf numFmtId="49" fontId="10" fillId="0" borderId="6" xfId="0" applyNumberFormat="1" applyFont="1" applyBorder="1" applyAlignment="1">
      <alignment horizontal="center" vertical="center"/>
    </xf>
    <xf numFmtId="4" fontId="7" fillId="2" borderId="7" xfId="0" applyNumberFormat="1" applyFont="1" applyFill="1" applyBorder="1"/>
    <xf numFmtId="4" fontId="18" fillId="3" borderId="3" xfId="0" applyNumberFormat="1" applyFont="1" applyFill="1" applyBorder="1" applyAlignment="1">
      <alignment horizontal="right"/>
    </xf>
    <xf numFmtId="4" fontId="7" fillId="2" borderId="12" xfId="0" applyNumberFormat="1" applyFont="1" applyFill="1" applyBorder="1"/>
    <xf numFmtId="4" fontId="7" fillId="2" borderId="2" xfId="0" applyNumberFormat="1" applyFont="1" applyFill="1" applyBorder="1"/>
    <xf numFmtId="49" fontId="10" fillId="0" borderId="8" xfId="0" applyNumberFormat="1" applyFont="1" applyBorder="1" applyAlignment="1">
      <alignment horizontal="center" vertical="center"/>
    </xf>
    <xf numFmtId="4" fontId="7" fillId="2" borderId="1" xfId="0" applyNumberFormat="1" applyFont="1" applyFill="1" applyBorder="1"/>
    <xf numFmtId="4" fontId="13" fillId="3" borderId="3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center" vertical="center" wrapText="1"/>
    </xf>
    <xf numFmtId="4" fontId="7" fillId="2" borderId="8" xfId="0" applyNumberFormat="1" applyFont="1" applyFill="1" applyBorder="1"/>
    <xf numFmtId="4" fontId="9" fillId="0" borderId="3" xfId="0" applyNumberFormat="1" applyFont="1" applyBorder="1" applyAlignment="1">
      <alignment horizontal="right"/>
    </xf>
    <xf numFmtId="4" fontId="14" fillId="0" borderId="3" xfId="0" applyNumberFormat="1" applyFont="1" applyBorder="1" applyAlignment="1">
      <alignment horizontal="right"/>
    </xf>
    <xf numFmtId="0" fontId="11" fillId="4" borderId="3" xfId="0" applyFont="1" applyFill="1" applyBorder="1" applyAlignment="1">
      <alignment horizontal="left" vertical="center"/>
    </xf>
    <xf numFmtId="4" fontId="13" fillId="4" borderId="3" xfId="0" applyNumberFormat="1" applyFont="1" applyFill="1" applyBorder="1"/>
    <xf numFmtId="4" fontId="11" fillId="4" borderId="5" xfId="0" applyNumberFormat="1" applyFont="1" applyFill="1" applyBorder="1" applyAlignment="1">
      <alignment horizontal="right"/>
    </xf>
    <xf numFmtId="4" fontId="11" fillId="4" borderId="9" xfId="0" applyNumberFormat="1" applyFont="1" applyFill="1" applyBorder="1" applyAlignment="1">
      <alignment horizontal="right"/>
    </xf>
    <xf numFmtId="0" fontId="21" fillId="0" borderId="0" xfId="0" applyFont="1"/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4" fontId="7" fillId="5" borderId="3" xfId="0" applyNumberFormat="1" applyFont="1" applyFill="1" applyBorder="1"/>
    <xf numFmtId="4" fontId="4" fillId="5" borderId="3" xfId="0" applyNumberFormat="1" applyFont="1" applyFill="1" applyBorder="1" applyAlignment="1">
      <alignment horizontal="right"/>
    </xf>
    <xf numFmtId="4" fontId="4" fillId="5" borderId="8" xfId="0" applyNumberFormat="1" applyFont="1" applyFill="1" applyBorder="1" applyAlignment="1">
      <alignment horizontal="right"/>
    </xf>
    <xf numFmtId="0" fontId="22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" fontId="27" fillId="0" borderId="0" xfId="0" applyNumberFormat="1" applyFont="1"/>
    <xf numFmtId="164" fontId="27" fillId="0" borderId="0" xfId="0" applyNumberFormat="1" applyFont="1"/>
    <xf numFmtId="0" fontId="0" fillId="0" borderId="1" xfId="0" applyBorder="1"/>
    <xf numFmtId="0" fontId="9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3" borderId="3" xfId="0" applyFill="1" applyBorder="1"/>
    <xf numFmtId="0" fontId="0" fillId="0" borderId="4" xfId="0" applyBorder="1"/>
    <xf numFmtId="0" fontId="4" fillId="4" borderId="13" xfId="0" applyFont="1" applyFill="1" applyBorder="1" applyAlignment="1">
      <alignment horizontal="center" vertical="center"/>
    </xf>
    <xf numFmtId="0" fontId="22" fillId="4" borderId="13" xfId="0" applyFont="1" applyFill="1" applyBorder="1" applyAlignment="1">
      <alignment horizontal="left" vertical="center"/>
    </xf>
    <xf numFmtId="4" fontId="4" fillId="4" borderId="8" xfId="0" applyNumberFormat="1" applyFont="1" applyFill="1" applyBorder="1" applyAlignment="1">
      <alignment horizontal="right"/>
    </xf>
    <xf numFmtId="4" fontId="4" fillId="4" borderId="8" xfId="0" applyNumberFormat="1" applyFont="1" applyFill="1" applyBorder="1"/>
    <xf numFmtId="4" fontId="0" fillId="0" borderId="0" xfId="0" applyNumberFormat="1"/>
    <xf numFmtId="165" fontId="0" fillId="0" borderId="0" xfId="0" applyNumberFormat="1"/>
    <xf numFmtId="4" fontId="9" fillId="3" borderId="8" xfId="0" applyNumberFormat="1" applyFont="1" applyFill="1" applyBorder="1" applyAlignment="1">
      <alignment horizontal="right"/>
    </xf>
    <xf numFmtId="4" fontId="9" fillId="0" borderId="0" xfId="0" applyNumberFormat="1" applyFont="1" applyAlignment="1">
      <alignment horizontal="right"/>
    </xf>
    <xf numFmtId="0" fontId="4" fillId="4" borderId="3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left" vertical="center"/>
    </xf>
    <xf numFmtId="4" fontId="4" fillId="4" borderId="3" xfId="0" applyNumberFormat="1" applyFont="1" applyFill="1" applyBorder="1" applyAlignment="1">
      <alignment horizontal="right"/>
    </xf>
    <xf numFmtId="0" fontId="11" fillId="5" borderId="5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4" fontId="13" fillId="5" borderId="3" xfId="0" applyNumberFormat="1" applyFont="1" applyFill="1" applyBorder="1"/>
    <xf numFmtId="4" fontId="11" fillId="5" borderId="3" xfId="0" applyNumberFormat="1" applyFont="1" applyFill="1" applyBorder="1" applyAlignment="1">
      <alignment horizontal="right"/>
    </xf>
    <xf numFmtId="4" fontId="11" fillId="5" borderId="8" xfId="0" applyNumberFormat="1" applyFont="1" applyFill="1" applyBorder="1" applyAlignment="1">
      <alignment horizontal="right"/>
    </xf>
    <xf numFmtId="0" fontId="22" fillId="0" borderId="12" xfId="0" applyFont="1" applyBorder="1" applyAlignment="1">
      <alignment vertical="center"/>
    </xf>
    <xf numFmtId="4" fontId="23" fillId="0" borderId="0" xfId="0" applyNumberFormat="1" applyFont="1"/>
    <xf numFmtId="0" fontId="23" fillId="0" borderId="0" xfId="1" applyFont="1" applyAlignment="1" applyProtection="1">
      <alignment vertical="center" wrapText="1"/>
    </xf>
    <xf numFmtId="0" fontId="28" fillId="0" borderId="0" xfId="1" applyFont="1" applyAlignment="1" applyProtection="1">
      <alignment vertical="center"/>
    </xf>
    <xf numFmtId="0" fontId="23" fillId="0" borderId="0" xfId="1" applyFont="1" applyAlignment="1" applyProtection="1">
      <alignment vertical="center"/>
    </xf>
    <xf numFmtId="0" fontId="23" fillId="0" borderId="0" xfId="0" applyFont="1" applyAlignment="1">
      <alignment vertical="center"/>
    </xf>
    <xf numFmtId="0" fontId="0" fillId="0" borderId="0" xfId="0" applyAlignment="1">
      <alignment horizontal="center"/>
    </xf>
    <xf numFmtId="10" fontId="0" fillId="0" borderId="0" xfId="0" applyNumberFormat="1"/>
    <xf numFmtId="0" fontId="29" fillId="6" borderId="16" xfId="0" applyFont="1" applyFill="1" applyBorder="1"/>
    <xf numFmtId="0" fontId="29" fillId="6" borderId="15" xfId="0" applyFont="1" applyFill="1" applyBorder="1"/>
    <xf numFmtId="0" fontId="0" fillId="7" borderId="14" xfId="0" applyFont="1" applyFill="1" applyBorder="1"/>
    <xf numFmtId="0" fontId="0" fillId="7" borderId="16" xfId="0" applyFont="1" applyFill="1" applyBorder="1"/>
    <xf numFmtId="0" fontId="0" fillId="0" borderId="14" xfId="0" applyFont="1" applyBorder="1"/>
    <xf numFmtId="0" fontId="0" fillId="0" borderId="16" xfId="0" applyFont="1" applyBorder="1"/>
    <xf numFmtId="10" fontId="0" fillId="7" borderId="15" xfId="0" applyNumberFormat="1" applyFont="1" applyFill="1" applyBorder="1"/>
    <xf numFmtId="10" fontId="0" fillId="0" borderId="15" xfId="0" applyNumberFormat="1" applyFont="1" applyBorder="1"/>
    <xf numFmtId="0" fontId="2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6" fillId="2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3" fillId="0" borderId="0" xfId="1" applyFont="1" applyAlignment="1" applyProtection="1">
      <alignment horizontal="left" vertical="center" wrapText="1"/>
    </xf>
    <xf numFmtId="0" fontId="25" fillId="0" borderId="0" xfId="1" applyFont="1" applyAlignment="1" applyProtection="1">
      <alignment horizontal="left" vertical="center"/>
    </xf>
    <xf numFmtId="0" fontId="23" fillId="0" borderId="0" xfId="1" applyFont="1" applyAlignment="1" applyProtection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8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Abstraction vs Water Use in Greece (2000–2023)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Clean_Data!$X$1</c:f>
              <c:strCache>
                <c:ptCount val="1"/>
                <c:pt idx="0">
                  <c:v>Total Abstraction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Clean_Data!$W$3:$W$26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Clean_Data!$X$2:$X$26</c:f>
              <c:numCache>
                <c:formatCode>General</c:formatCode>
                <c:ptCount val="25"/>
                <c:pt idx="1">
                  <c:v>9924.4</c:v>
                </c:pt>
                <c:pt idx="2">
                  <c:v>9773.7000000000007</c:v>
                </c:pt>
                <c:pt idx="3">
                  <c:v>9259.5</c:v>
                </c:pt>
                <c:pt idx="4">
                  <c:v>9455.9</c:v>
                </c:pt>
                <c:pt idx="5">
                  <c:v>9576.4</c:v>
                </c:pt>
                <c:pt idx="6">
                  <c:v>9653.9</c:v>
                </c:pt>
                <c:pt idx="7">
                  <c:v>9447.2999999999993</c:v>
                </c:pt>
                <c:pt idx="8">
                  <c:v>9471.6</c:v>
                </c:pt>
                <c:pt idx="12">
                  <c:v>10028.049999999999</c:v>
                </c:pt>
                <c:pt idx="13">
                  <c:v>10029.56</c:v>
                </c:pt>
                <c:pt idx="14">
                  <c:v>10027.950000000001</c:v>
                </c:pt>
                <c:pt idx="15">
                  <c:v>10009.43</c:v>
                </c:pt>
                <c:pt idx="16">
                  <c:v>10012.69</c:v>
                </c:pt>
                <c:pt idx="17">
                  <c:v>10135.61</c:v>
                </c:pt>
                <c:pt idx="18">
                  <c:v>10133.879999999999</c:v>
                </c:pt>
                <c:pt idx="19">
                  <c:v>10122.780000000001</c:v>
                </c:pt>
                <c:pt idx="20">
                  <c:v>10115.209999999999</c:v>
                </c:pt>
                <c:pt idx="21">
                  <c:v>10122.08</c:v>
                </c:pt>
                <c:pt idx="22">
                  <c:v>10087.31</c:v>
                </c:pt>
                <c:pt idx="23">
                  <c:v>8784.7800000000007</c:v>
                </c:pt>
                <c:pt idx="24">
                  <c:v>8768.69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29-46A0-BB4C-E5EBCDB772E7}"/>
            </c:ext>
          </c:extLst>
        </c:ser>
        <c:ser>
          <c:idx val="2"/>
          <c:order val="1"/>
          <c:tx>
            <c:strRef>
              <c:f>Clean_Data!$Y$1</c:f>
              <c:strCache>
                <c:ptCount val="1"/>
                <c:pt idx="0">
                  <c:v>Total_Use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Clean_Data!$W$3:$W$26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Clean_Data!$Y$2:$Y$26</c:f>
              <c:numCache>
                <c:formatCode>General</c:formatCode>
                <c:ptCount val="25"/>
                <c:pt idx="1">
                  <c:v>8844.49</c:v>
                </c:pt>
                <c:pt idx="2">
                  <c:v>8724.49</c:v>
                </c:pt>
                <c:pt idx="3">
                  <c:v>7914.49</c:v>
                </c:pt>
                <c:pt idx="4">
                  <c:v>8344.49</c:v>
                </c:pt>
                <c:pt idx="5">
                  <c:v>8273.49</c:v>
                </c:pt>
                <c:pt idx="6">
                  <c:v>8774.49</c:v>
                </c:pt>
                <c:pt idx="7">
                  <c:v>8544.49</c:v>
                </c:pt>
                <c:pt idx="8">
                  <c:v>8317.49</c:v>
                </c:pt>
                <c:pt idx="12">
                  <c:v>9672.15</c:v>
                </c:pt>
                <c:pt idx="13">
                  <c:v>9541.98</c:v>
                </c:pt>
                <c:pt idx="14">
                  <c:v>9234.23</c:v>
                </c:pt>
                <c:pt idx="15">
                  <c:v>9459.93</c:v>
                </c:pt>
                <c:pt idx="16">
                  <c:v>9537.26</c:v>
                </c:pt>
                <c:pt idx="17">
                  <c:v>8844.49</c:v>
                </c:pt>
                <c:pt idx="18">
                  <c:v>9027.64</c:v>
                </c:pt>
                <c:pt idx="19">
                  <c:v>8926.01</c:v>
                </c:pt>
                <c:pt idx="20">
                  <c:v>8972.09</c:v>
                </c:pt>
                <c:pt idx="21">
                  <c:v>9064.59</c:v>
                </c:pt>
                <c:pt idx="22">
                  <c:v>9187.67</c:v>
                </c:pt>
                <c:pt idx="23">
                  <c:v>8077.06</c:v>
                </c:pt>
                <c:pt idx="24">
                  <c:v>8116.16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29-46A0-BB4C-E5EBCDB77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813200"/>
        <c:axId val="1062813616"/>
      </c:lineChart>
      <c:catAx>
        <c:axId val="1062813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2813616"/>
        <c:crosses val="autoZero"/>
        <c:auto val="1"/>
        <c:lblAlgn val="ctr"/>
        <c:lblOffset val="100"/>
        <c:noMultiLvlLbl val="0"/>
      </c:catAx>
      <c:valAx>
        <c:axId val="1062813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volume (million 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28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Water Abstraction vs Water Use in Greece (2000–2023)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7.1014054666710652E-2"/>
          <c:y val="0.18748783286511297"/>
          <c:w val="0.905730395467639"/>
          <c:h val="0.6544441366939685"/>
        </c:manualLayout>
      </c:layout>
      <c:lineChart>
        <c:grouping val="standard"/>
        <c:varyColors val="0"/>
        <c:ser>
          <c:idx val="1"/>
          <c:order val="0"/>
          <c:tx>
            <c:strRef>
              <c:f>Charts!$B$1</c:f>
              <c:strCache>
                <c:ptCount val="1"/>
                <c:pt idx="0">
                  <c:v>Total Abstraction</c:v>
                </c:pt>
              </c:strCache>
            </c:strRef>
          </c:tx>
          <c:spPr>
            <a:ln w="38100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Clean_Data!$W$3:$W$26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Charts!$B$3:$B$26</c:f>
              <c:numCache>
                <c:formatCode>General</c:formatCode>
                <c:ptCount val="24"/>
                <c:pt idx="0">
                  <c:v>9924.4</c:v>
                </c:pt>
                <c:pt idx="1">
                  <c:v>9773.7000000000007</c:v>
                </c:pt>
                <c:pt idx="2">
                  <c:v>9259.5</c:v>
                </c:pt>
                <c:pt idx="3">
                  <c:v>9455.9</c:v>
                </c:pt>
                <c:pt idx="4">
                  <c:v>9576.4</c:v>
                </c:pt>
                <c:pt idx="5">
                  <c:v>9653.9</c:v>
                </c:pt>
                <c:pt idx="6">
                  <c:v>9447.2999999999993</c:v>
                </c:pt>
                <c:pt idx="7">
                  <c:v>9471.6</c:v>
                </c:pt>
                <c:pt idx="11">
                  <c:v>10028.049999999999</c:v>
                </c:pt>
                <c:pt idx="12">
                  <c:v>10029.56</c:v>
                </c:pt>
                <c:pt idx="13">
                  <c:v>10027.950000000001</c:v>
                </c:pt>
                <c:pt idx="14">
                  <c:v>10009.43</c:v>
                </c:pt>
                <c:pt idx="15">
                  <c:v>10012.69</c:v>
                </c:pt>
                <c:pt idx="16">
                  <c:v>10135.61</c:v>
                </c:pt>
                <c:pt idx="17">
                  <c:v>10133.879999999999</c:v>
                </c:pt>
                <c:pt idx="18">
                  <c:v>10122.780000000001</c:v>
                </c:pt>
                <c:pt idx="19">
                  <c:v>10115.209999999999</c:v>
                </c:pt>
                <c:pt idx="20">
                  <c:v>10122.08</c:v>
                </c:pt>
                <c:pt idx="21">
                  <c:v>10087.31</c:v>
                </c:pt>
                <c:pt idx="22">
                  <c:v>8784.7800000000007</c:v>
                </c:pt>
                <c:pt idx="23">
                  <c:v>8768.69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0-4D2F-85B9-EBF20F35EC69}"/>
            </c:ext>
          </c:extLst>
        </c:ser>
        <c:ser>
          <c:idx val="2"/>
          <c:order val="1"/>
          <c:tx>
            <c:strRef>
              <c:f>Clean_Data!$Y$1</c:f>
              <c:strCache>
                <c:ptCount val="1"/>
                <c:pt idx="0">
                  <c:v>Total_Use</c:v>
                </c:pt>
              </c:strCache>
            </c:strRef>
          </c:tx>
          <c:spPr>
            <a:ln w="349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Clean_Data!$W$3:$W$26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Charts!$C$3:$C$26</c:f>
              <c:numCache>
                <c:formatCode>General</c:formatCode>
                <c:ptCount val="24"/>
                <c:pt idx="0">
                  <c:v>8844.49</c:v>
                </c:pt>
                <c:pt idx="1">
                  <c:v>8724.49</c:v>
                </c:pt>
                <c:pt idx="2">
                  <c:v>7914.49</c:v>
                </c:pt>
                <c:pt idx="3">
                  <c:v>8344.49</c:v>
                </c:pt>
                <c:pt idx="4">
                  <c:v>8273.49</c:v>
                </c:pt>
                <c:pt idx="5">
                  <c:v>8774.49</c:v>
                </c:pt>
                <c:pt idx="6">
                  <c:v>8544.49</c:v>
                </c:pt>
                <c:pt idx="7">
                  <c:v>8317.49</c:v>
                </c:pt>
                <c:pt idx="11">
                  <c:v>9672.15</c:v>
                </c:pt>
                <c:pt idx="12">
                  <c:v>9541.98</c:v>
                </c:pt>
                <c:pt idx="13">
                  <c:v>9234.23</c:v>
                </c:pt>
                <c:pt idx="14">
                  <c:v>9459.93</c:v>
                </c:pt>
                <c:pt idx="15">
                  <c:v>9537.26</c:v>
                </c:pt>
                <c:pt idx="16">
                  <c:v>8844.49</c:v>
                </c:pt>
                <c:pt idx="17">
                  <c:v>9027.64</c:v>
                </c:pt>
                <c:pt idx="18">
                  <c:v>8926.01</c:v>
                </c:pt>
                <c:pt idx="19">
                  <c:v>8972.09</c:v>
                </c:pt>
                <c:pt idx="20">
                  <c:v>9064.59</c:v>
                </c:pt>
                <c:pt idx="21">
                  <c:v>9187.67</c:v>
                </c:pt>
                <c:pt idx="22">
                  <c:v>8077.06</c:v>
                </c:pt>
                <c:pt idx="23">
                  <c:v>8116.16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0-4D2F-85B9-EBF20F35E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813200"/>
        <c:axId val="1062813616"/>
      </c:lineChart>
      <c:catAx>
        <c:axId val="106281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2813616"/>
        <c:crosses val="autoZero"/>
        <c:auto val="1"/>
        <c:lblAlgn val="ctr"/>
        <c:lblOffset val="100"/>
        <c:noMultiLvlLbl val="0"/>
      </c:catAx>
      <c:valAx>
        <c:axId val="1062813616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9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Water volume (million 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628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5">
            <a:lumMod val="50000"/>
            <a:shade val="30000"/>
            <a:satMod val="115000"/>
          </a:schemeClr>
        </a:gs>
        <a:gs pos="50000">
          <a:schemeClr val="accent5">
            <a:lumMod val="50000"/>
            <a:shade val="67500"/>
            <a:satMod val="115000"/>
          </a:schemeClr>
        </a:gs>
        <a:gs pos="100000">
          <a:schemeClr val="accent5">
            <a:lumMod val="50000"/>
            <a:shade val="100000"/>
            <a:satMod val="115000"/>
          </a:schemeClr>
        </a:gs>
      </a:gsLst>
      <a:path path="circle">
        <a:fillToRect l="50000" t="50000" r="50000" b="50000"/>
      </a:path>
    </a:gra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el-G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Agriculture Dominates Water Consumption in Greece (2000–2023)</a:t>
            </a:r>
          </a:p>
        </c:rich>
      </c:tx>
      <c:layout>
        <c:manualLayout>
          <c:xMode val="edge"/>
          <c:yMode val="edge"/>
          <c:x val="0.13786899353367757"/>
          <c:y val="1.8816992633985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Charts!$B$34</c:f>
              <c:strCache>
                <c:ptCount val="1"/>
                <c:pt idx="0">
                  <c:v> Agriculture_Use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Charts!$A$36:$A$59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Charts!$B$36:$B$59</c:f>
              <c:numCache>
                <c:formatCode>General</c:formatCode>
                <c:ptCount val="24"/>
                <c:pt idx="0">
                  <c:v>6821.11</c:v>
                </c:pt>
                <c:pt idx="1">
                  <c:v>6921.11</c:v>
                </c:pt>
                <c:pt idx="2">
                  <c:v>6303.7020000000002</c:v>
                </c:pt>
                <c:pt idx="3">
                  <c:v>6403.7020000000002</c:v>
                </c:pt>
                <c:pt idx="4">
                  <c:v>6165.86</c:v>
                </c:pt>
                <c:pt idx="5">
                  <c:v>6905.34</c:v>
                </c:pt>
                <c:pt idx="6">
                  <c:v>6743.23</c:v>
                </c:pt>
                <c:pt idx="7">
                  <c:v>6217.94</c:v>
                </c:pt>
                <c:pt idx="11">
                  <c:v>7221.11</c:v>
                </c:pt>
                <c:pt idx="12">
                  <c:v>7221.11</c:v>
                </c:pt>
                <c:pt idx="13">
                  <c:v>7221.11</c:v>
                </c:pt>
                <c:pt idx="14">
                  <c:v>7221.11</c:v>
                </c:pt>
                <c:pt idx="15">
                  <c:v>7221.11</c:v>
                </c:pt>
                <c:pt idx="16">
                  <c:v>6603.7020000000002</c:v>
                </c:pt>
                <c:pt idx="17">
                  <c:v>6603.7020000000002</c:v>
                </c:pt>
                <c:pt idx="18">
                  <c:v>6603.7020000000002</c:v>
                </c:pt>
                <c:pt idx="19">
                  <c:v>6603.7020000000002</c:v>
                </c:pt>
                <c:pt idx="20">
                  <c:v>6603.7020000000002</c:v>
                </c:pt>
                <c:pt idx="21">
                  <c:v>6603.7020000000002</c:v>
                </c:pt>
                <c:pt idx="22">
                  <c:v>5926.26</c:v>
                </c:pt>
                <c:pt idx="23">
                  <c:v>5926.26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F-4B5B-B31E-15AF1B288E1E}"/>
            </c:ext>
          </c:extLst>
        </c:ser>
        <c:ser>
          <c:idx val="2"/>
          <c:order val="1"/>
          <c:tx>
            <c:strRef>
              <c:f>Charts!$C$34</c:f>
              <c:strCache>
                <c:ptCount val="1"/>
                <c:pt idx="0">
                  <c:v>Industry_Use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Charts!$A$36:$A$59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Charts!$C$36:$C$59</c:f>
              <c:numCache>
                <c:formatCode>General</c:formatCode>
                <c:ptCount val="24"/>
                <c:pt idx="0">
                  <c:v>182.46</c:v>
                </c:pt>
                <c:pt idx="1">
                  <c:v>184.23</c:v>
                </c:pt>
                <c:pt idx="2">
                  <c:v>185.46</c:v>
                </c:pt>
                <c:pt idx="3">
                  <c:v>179.23</c:v>
                </c:pt>
                <c:pt idx="4">
                  <c:v>180.54</c:v>
                </c:pt>
                <c:pt idx="5">
                  <c:v>183.45</c:v>
                </c:pt>
                <c:pt idx="6">
                  <c:v>183.98</c:v>
                </c:pt>
                <c:pt idx="7">
                  <c:v>181.76</c:v>
                </c:pt>
                <c:pt idx="11">
                  <c:v>189.49</c:v>
                </c:pt>
                <c:pt idx="12">
                  <c:v>189.49</c:v>
                </c:pt>
                <c:pt idx="13">
                  <c:v>189.49</c:v>
                </c:pt>
                <c:pt idx="14">
                  <c:v>189.49</c:v>
                </c:pt>
                <c:pt idx="15">
                  <c:v>189.49</c:v>
                </c:pt>
                <c:pt idx="16">
                  <c:v>185.46</c:v>
                </c:pt>
                <c:pt idx="17">
                  <c:v>185.46</c:v>
                </c:pt>
                <c:pt idx="18">
                  <c:v>185.46</c:v>
                </c:pt>
                <c:pt idx="19">
                  <c:v>185.46</c:v>
                </c:pt>
                <c:pt idx="20">
                  <c:v>185.46</c:v>
                </c:pt>
                <c:pt idx="21">
                  <c:v>185.46</c:v>
                </c:pt>
                <c:pt idx="22">
                  <c:v>192.10000000000002</c:v>
                </c:pt>
                <c:pt idx="23">
                  <c:v>192.10000000000002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F-4B5B-B31E-15AF1B288E1E}"/>
            </c:ext>
          </c:extLst>
        </c:ser>
        <c:ser>
          <c:idx val="3"/>
          <c:order val="2"/>
          <c:tx>
            <c:strRef>
              <c:f>Charts!$D$34</c:f>
              <c:strCache>
                <c:ptCount val="1"/>
                <c:pt idx="0">
                  <c:v>Households_Use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Ref>
              <c:f>Charts!$A$36:$A$59</c:f>
              <c:numCache>
                <c:formatCode>General</c:formatCod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Charts!$D$36:$D$59</c:f>
              <c:numCache>
                <c:formatCode>General</c:formatCode>
                <c:ptCount val="24"/>
                <c:pt idx="0">
                  <c:v>350.7</c:v>
                </c:pt>
                <c:pt idx="1">
                  <c:v>332.7</c:v>
                </c:pt>
                <c:pt idx="2">
                  <c:v>335.1</c:v>
                </c:pt>
                <c:pt idx="3">
                  <c:v>393.3</c:v>
                </c:pt>
                <c:pt idx="4">
                  <c:v>407.3</c:v>
                </c:pt>
                <c:pt idx="5">
                  <c:v>428.6</c:v>
                </c:pt>
                <c:pt idx="6">
                  <c:v>429.6</c:v>
                </c:pt>
                <c:pt idx="7">
                  <c:v>394.8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1020.83</c:v>
                </c:pt>
                <c:pt idx="12">
                  <c:v>1020.83</c:v>
                </c:pt>
                <c:pt idx="13">
                  <c:v>1020.83</c:v>
                </c:pt>
                <c:pt idx="14">
                  <c:v>1020.83</c:v>
                </c:pt>
                <c:pt idx="15">
                  <c:v>1020.83</c:v>
                </c:pt>
                <c:pt idx="16">
                  <c:v>1149.0070000000001</c:v>
                </c:pt>
                <c:pt idx="17">
                  <c:v>1149.0070000000001</c:v>
                </c:pt>
                <c:pt idx="18">
                  <c:v>1149.0070000000001</c:v>
                </c:pt>
                <c:pt idx="19">
                  <c:v>1149.0070000000001</c:v>
                </c:pt>
                <c:pt idx="20">
                  <c:v>1149.0070000000001</c:v>
                </c:pt>
                <c:pt idx="21">
                  <c:v>1149.0070000000001</c:v>
                </c:pt>
                <c:pt idx="22">
                  <c:v>832.05</c:v>
                </c:pt>
                <c:pt idx="23">
                  <c:v>832.05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6F-4B5B-B31E-15AF1B288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0008768"/>
        <c:axId val="1601721120"/>
      </c:barChart>
      <c:catAx>
        <c:axId val="142000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01721120"/>
        <c:crosses val="autoZero"/>
        <c:auto val="1"/>
        <c:lblAlgn val="ctr"/>
        <c:lblOffset val="100"/>
        <c:noMultiLvlLbl val="0"/>
      </c:catAx>
      <c:valAx>
        <c:axId val="1601721120"/>
        <c:scaling>
          <c:orientation val="minMax"/>
          <c:max val="9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none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cap="none" baseline="0"/>
                  <a:t>Water volume (million m³)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none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200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5">
            <a:lumMod val="50000"/>
            <a:shade val="30000"/>
            <a:satMod val="115000"/>
          </a:schemeClr>
        </a:gs>
        <a:gs pos="50000">
          <a:schemeClr val="accent5">
            <a:lumMod val="50000"/>
            <a:shade val="67500"/>
            <a:satMod val="115000"/>
          </a:schemeClr>
        </a:gs>
        <a:gs pos="100000">
          <a:schemeClr val="accent5">
            <a:lumMod val="50000"/>
            <a:shade val="100000"/>
            <a:satMod val="1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Water Use by Sector in Greece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explosion val="19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70-48CD-A9DF-D0205DB53F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70-48CD-A9DF-D0205DB53F5B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70-48CD-A9DF-D0205DB53F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Charts!$A$71:$A$73</c:f>
              <c:strCache>
                <c:ptCount val="3"/>
                <c:pt idx="0">
                  <c:v>Agriculture</c:v>
                </c:pt>
                <c:pt idx="1">
                  <c:v>Industry</c:v>
                </c:pt>
                <c:pt idx="2">
                  <c:v>Households</c:v>
                </c:pt>
              </c:strCache>
            </c:strRef>
          </c:cat>
          <c:val>
            <c:numRef>
              <c:f>Charts!$B$71:$B$73</c:f>
              <c:numCache>
                <c:formatCode>General</c:formatCode>
                <c:ptCount val="3"/>
                <c:pt idx="0">
                  <c:v>5926.26</c:v>
                </c:pt>
                <c:pt idx="1">
                  <c:v>192.1</c:v>
                </c:pt>
                <c:pt idx="2">
                  <c:v>832.05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6-4781-A7A7-5A7FFDE2F9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5">
            <a:lumMod val="50000"/>
            <a:shade val="30000"/>
            <a:satMod val="115000"/>
          </a:schemeClr>
        </a:gs>
        <a:gs pos="50000">
          <a:schemeClr val="accent5">
            <a:lumMod val="50000"/>
            <a:shade val="67500"/>
            <a:satMod val="115000"/>
          </a:schemeClr>
        </a:gs>
        <a:gs pos="100000">
          <a:schemeClr val="accent5">
            <a:lumMod val="50000"/>
            <a:shade val="100000"/>
            <a:satMod val="1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 sz="10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411954</xdr:colOff>
      <xdr:row>3</xdr:row>
      <xdr:rowOff>157163</xdr:rowOff>
    </xdr:from>
    <xdr:to>
      <xdr:col>39</xdr:col>
      <xdr:colOff>590549</xdr:colOff>
      <xdr:row>24</xdr:row>
      <xdr:rowOff>147638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1A20A-90E7-49CC-B040-1D4B34A8C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4</xdr:row>
      <xdr:rowOff>9525</xdr:rowOff>
    </xdr:from>
    <xdr:to>
      <xdr:col>18</xdr:col>
      <xdr:colOff>550070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610645-8052-443A-ADA7-0F5F00920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426241</xdr:colOff>
      <xdr:row>35</xdr:row>
      <xdr:rowOff>100013</xdr:rowOff>
    </xdr:from>
    <xdr:to>
      <xdr:col>18</xdr:col>
      <xdr:colOff>603241</xdr:colOff>
      <xdr:row>56</xdr:row>
      <xdr:rowOff>90338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B0B346-F9D0-4343-B519-83CF20C75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7143</xdr:colOff>
      <xdr:row>61</xdr:row>
      <xdr:rowOff>2380</xdr:rowOff>
    </xdr:from>
    <xdr:to>
      <xdr:col>11</xdr:col>
      <xdr:colOff>395288</xdr:colOff>
      <xdr:row>79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1E1A27-BC7B-4CE5-9586-2CDA21097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0.38887</cdr:x>
      <cdr:y>0.22739</cdr:y>
    </cdr:from>
    <cdr:to>
      <cdr:x>0.48159</cdr:x>
      <cdr:y>0.84296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1D37929-7EDE-4611-8DDD-DA83E5D99089}"/>
            </a:ext>
          </a:extLst>
        </cdr:cNvPr>
        <cdr:cNvSpPr/>
      </cdr:nvSpPr>
      <cdr:spPr>
        <a:xfrm xmlns:a="http://schemas.openxmlformats.org/drawingml/2006/main">
          <a:off x="3595688" y="862013"/>
          <a:ext cx="857250" cy="23336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alpha val="1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r>
            <a:rPr lang="en-US" sz="900"/>
            <a:t>Data gap</a:t>
          </a:r>
        </a:p>
        <a:p xmlns:a="http://schemas.openxmlformats.org/drawingml/2006/main">
          <a:r>
            <a:rPr lang="en-US" sz="900"/>
            <a:t> (2008–2010)</a:t>
          </a:r>
          <a:endParaRPr lang="el-GR" sz="900"/>
        </a:p>
      </cdr:txBody>
    </cdr:sp>
  </cdr:relSizeAnchor>
  <cdr:relSizeAnchor xmlns:cdr="http://schemas.openxmlformats.org/drawingml/2006/chartDrawing">
    <cdr:from>
      <cdr:x>0.71852</cdr:x>
      <cdr:y>0.10678</cdr:y>
    </cdr:from>
    <cdr:to>
      <cdr:x>1</cdr:x>
      <cdr:y>0.29523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E44F41-8D0D-4E16-938F-4695CFCDCC7F}"/>
            </a:ext>
          </a:extLst>
        </cdr:cNvPr>
        <cdr:cNvSpPr txBox="1"/>
      </cdr:nvSpPr>
      <cdr:spPr>
        <a:xfrm xmlns:a="http://schemas.openxmlformats.org/drawingml/2006/main">
          <a:off x="6643720" y="404812"/>
          <a:ext cx="2602675" cy="7143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chemeClr val="bg1"/>
              </a:solidFill>
            </a:rPr>
            <a:t>Post-2011: Limited gap between abstraction and use → high water stress</a:t>
          </a:r>
          <a:endParaRPr lang="el-GR" sz="900">
            <a:solidFill>
              <a:schemeClr val="bg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0.44781</cdr:x>
      <cdr:y>0.40323</cdr:y>
    </cdr:from>
    <cdr:to>
      <cdr:x>0.55219</cdr:x>
      <cdr:y>0.59677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062CC0A-7D19-4523-8D90-AB34EA453E3D}"/>
            </a:ext>
          </a:extLst>
        </cdr:cNvPr>
        <cdr:cNvSpPr txBox="1"/>
      </cdr:nvSpPr>
      <cdr:spPr>
        <a:xfrm xmlns:a="http://schemas.openxmlformats.org/drawingml/2006/main">
          <a:off x="3923110" y="1905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l-GR" sz="1100"/>
        </a:p>
      </cdr:txBody>
    </cdr:sp>
  </cdr:relSizeAnchor>
  <cdr:relSizeAnchor xmlns:cdr="http://schemas.openxmlformats.org/drawingml/2006/chartDrawing">
    <cdr:from>
      <cdr:x>0.44115</cdr:x>
      <cdr:y>0.29637</cdr:y>
    </cdr:from>
    <cdr:to>
      <cdr:x>0.54553</cdr:x>
      <cdr:y>0.48992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E5E221-B3FB-478F-BC43-F11CB4F58197}"/>
            </a:ext>
          </a:extLst>
        </cdr:cNvPr>
        <cdr:cNvSpPr txBox="1"/>
      </cdr:nvSpPr>
      <cdr:spPr>
        <a:xfrm xmlns:a="http://schemas.openxmlformats.org/drawingml/2006/main">
          <a:off x="3864771" y="14001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l-GR" sz="1100"/>
        </a:p>
      </cdr:txBody>
    </cdr:sp>
  </cdr:relSizeAnchor>
  <cdr:relSizeAnchor xmlns:cdr="http://schemas.openxmlformats.org/drawingml/2006/chartDrawing">
    <cdr:from>
      <cdr:x>0.44781</cdr:x>
      <cdr:y>0.40323</cdr:y>
    </cdr:from>
    <cdr:to>
      <cdr:x>0.55219</cdr:x>
      <cdr:y>0.59677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9D3829A-1B06-4267-B1E5-C360FA2B311F}"/>
            </a:ext>
          </a:extLst>
        </cdr:cNvPr>
        <cdr:cNvSpPr txBox="1"/>
      </cdr:nvSpPr>
      <cdr:spPr>
        <a:xfrm xmlns:a="http://schemas.openxmlformats.org/drawingml/2006/main">
          <a:off x="3923110" y="1905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l-GR" sz="1100"/>
        </a:p>
      </cdr:txBody>
    </cdr:sp>
  </cdr:relSizeAnchor>
  <cdr:relSizeAnchor xmlns:cdr="http://schemas.openxmlformats.org/drawingml/2006/chartDrawing">
    <cdr:from>
      <cdr:x>0.47377</cdr:x>
      <cdr:y>0.44355</cdr:y>
    </cdr:from>
    <cdr:to>
      <cdr:x>0.57815</cdr:x>
      <cdr:y>0.6371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B47A80C-75C8-4F8A-A71F-70492DDC0ADF}"/>
            </a:ext>
          </a:extLst>
        </cdr:cNvPr>
        <cdr:cNvSpPr txBox="1"/>
      </cdr:nvSpPr>
      <cdr:spPr>
        <a:xfrm xmlns:a="http://schemas.openxmlformats.org/drawingml/2006/main">
          <a:off x="4150521" y="2095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l-GR" sz="1100"/>
        </a:p>
      </cdr:txBody>
    </cdr:sp>
  </cdr:relSizeAnchor>
  <cdr:relSizeAnchor xmlns:cdr="http://schemas.openxmlformats.org/drawingml/2006/chartDrawing">
    <cdr:from>
      <cdr:x>0.40745</cdr:x>
      <cdr:y>0.55444</cdr:y>
    </cdr:from>
    <cdr:to>
      <cdr:x>0.50204</cdr:x>
      <cdr:y>0.81653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2485105-4973-439E-9398-BC8D9C7046B4}"/>
            </a:ext>
          </a:extLst>
        </cdr:cNvPr>
        <cdr:cNvSpPr txBox="1"/>
      </cdr:nvSpPr>
      <cdr:spPr>
        <a:xfrm xmlns:a="http://schemas.openxmlformats.org/drawingml/2006/main" flipH="1">
          <a:off x="3569495" y="2619375"/>
          <a:ext cx="828673" cy="12382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solidFill>
                <a:schemeClr val="bg1"/>
              </a:solidFill>
            </a:rPr>
            <a:t>No data available (2008–2010)</a:t>
          </a:r>
          <a:endParaRPr lang="el-GR" sz="9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0.44441</cdr:x>
      <cdr:y>0.31653</cdr:y>
    </cdr:from>
    <cdr:to>
      <cdr:x>0.54879</cdr:x>
      <cdr:y>0.51008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4DB37B8-C152-4770-B442-0F1436DB2623}"/>
            </a:ext>
          </a:extLst>
        </cdr:cNvPr>
        <cdr:cNvSpPr txBox="1"/>
      </cdr:nvSpPr>
      <cdr:spPr>
        <a:xfrm xmlns:a="http://schemas.openxmlformats.org/drawingml/2006/main">
          <a:off x="3893346" y="14954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l-GR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2</xdr:row>
      <xdr:rowOff>69056</xdr:rowOff>
    </xdr:from>
    <xdr:to>
      <xdr:col>11</xdr:col>
      <xdr:colOff>395287</xdr:colOff>
      <xdr:row>20</xdr:row>
      <xdr:rowOff>176213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A0A7B6-B83F-4DDC-9A59-5A94D22BB2B8}"/>
            </a:ext>
          </a:extLst>
        </xdr:cNvPr>
        <xdr:cNvSpPr txBox="1"/>
      </xdr:nvSpPr>
      <xdr:spPr>
        <a:xfrm>
          <a:off x="661988" y="431006"/>
          <a:ext cx="6857999" cy="3364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/>
            <a:t>🔵 </a:t>
          </a:r>
          <a:r>
            <a:rPr lang="en-US" sz="1100"/>
            <a:t>LinkedIn Post (portfolio / data analyst tone)</a:t>
          </a:r>
        </a:p>
        <a:p>
          <a:r>
            <a:rPr lang="en-US" sz="1100"/>
            <a:t>Title (</a:t>
          </a:r>
          <a:r>
            <a:rPr lang="el-GR" sz="1100"/>
            <a:t>πρώτη γραμμή):</a:t>
          </a:r>
        </a:p>
        <a:p>
          <a:r>
            <a:rPr lang="el-GR" sz="1100"/>
            <a:t>💧 </a:t>
          </a:r>
          <a:r>
            <a:rPr lang="en-US" sz="1100"/>
            <a:t>Water Scarcity in Greece: A Data-Driven Analysis (2000–2023)</a:t>
          </a:r>
        </a:p>
        <a:p>
          <a:r>
            <a:rPr lang="en-US" sz="1100"/>
            <a:t>Post:</a:t>
          </a:r>
        </a:p>
        <a:p>
          <a:r>
            <a:rPr lang="en-US" sz="1100"/>
            <a:t>Over the past weeks I worked on a data analysis project exploring water abstraction and water use in Greece using official data from the Hellenic Statistical Authority.</a:t>
          </a:r>
        </a:p>
        <a:p>
          <a:r>
            <a:rPr lang="el-GR" sz="1100"/>
            <a:t>📊 </a:t>
          </a:r>
          <a:r>
            <a:rPr lang="en-US" sz="1100"/>
            <a:t>The objective was to understand whether Greece has reduced structural pressure on its water resources over time.</a:t>
          </a:r>
        </a:p>
        <a:p>
          <a:r>
            <a:rPr lang="en-US" sz="1100"/>
            <a:t>Key findings:</a:t>
          </a:r>
        </a:p>
        <a:p>
          <a:r>
            <a:rPr lang="en-US" sz="1100"/>
            <a:t>• Water use remains consistently close to total abstraction after 2011, indicating limited buffer capacity.</a:t>
          </a:r>
        </a:p>
        <a:p>
          <a:r>
            <a:rPr lang="en-US" sz="1100"/>
            <a:t>• Agriculture accounts for the vast majority of water consumption (~85%).</a:t>
          </a:r>
        </a:p>
        <a:p>
          <a:r>
            <a:rPr lang="en-US" sz="1100"/>
            <a:t>• The structure of water use has remained largely unchanged over the last two decades.</a:t>
          </a:r>
        </a:p>
        <a:p>
          <a:r>
            <a:rPr lang="en-US" sz="1100"/>
            <a:t>This suggests that water scarcity in Greece is not only a climate issue, but also a structural resource management challenge.</a:t>
          </a:r>
        </a:p>
        <a:p>
          <a:r>
            <a:rPr lang="el-GR" sz="1100"/>
            <a:t>🛠 </a:t>
          </a:r>
          <a:r>
            <a:rPr lang="en-US" sz="1100"/>
            <a:t>Tools used:</a:t>
          </a:r>
        </a:p>
        <a:p>
          <a:r>
            <a:rPr lang="en-US" sz="1100"/>
            <a:t>Excel – data cleaning, KPI calculation, and data visualization.</a:t>
          </a:r>
        </a:p>
        <a:p>
          <a:r>
            <a:rPr lang="el-GR" sz="1100"/>
            <a:t>📍 </a:t>
          </a:r>
          <a:r>
            <a:rPr lang="en-US" sz="1100"/>
            <a:t>Dataset: Hellenic Statistical Authority (ELSTAT)</a:t>
          </a:r>
        </a:p>
        <a:p>
          <a:r>
            <a:rPr lang="en-US" sz="1100"/>
            <a:t>#DataAnalysis #Sustainability #WaterScarcity #ESG #Excel #Portfolio</a:t>
          </a:r>
          <a:endParaRPr lang="el-GR" sz="1100"/>
        </a:p>
      </xdr:txBody>
    </xdr:sp>
    <xdr:clientData/>
  </xdr:twoCellAnchor>
  <xdr:oneCellAnchor>
    <xdr:from>
      <xdr:col>12</xdr:col>
      <xdr:colOff>14288</xdr:colOff>
      <xdr:row>14</xdr:row>
      <xdr:rowOff>100013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9DB897-7CB4-43ED-AA78-D9C43E89709C}"/>
            </a:ext>
          </a:extLst>
        </xdr:cNvPr>
        <xdr:cNvSpPr txBox="1"/>
      </xdr:nvSpPr>
      <xdr:spPr>
        <a:xfrm>
          <a:off x="7786688" y="2633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twoCellAnchor>
    <xdr:from>
      <xdr:col>13</xdr:col>
      <xdr:colOff>45244</xdr:colOff>
      <xdr:row>2</xdr:row>
      <xdr:rowOff>50006</xdr:rowOff>
    </xdr:from>
    <xdr:to>
      <xdr:col>21</xdr:col>
      <xdr:colOff>528638</xdr:colOff>
      <xdr:row>20</xdr:row>
      <xdr:rowOff>157163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FDD959-6D8C-49A5-8576-B29D95CC9CC7}"/>
            </a:ext>
          </a:extLst>
        </xdr:cNvPr>
        <xdr:cNvSpPr txBox="1"/>
      </xdr:nvSpPr>
      <xdr:spPr>
        <a:xfrm>
          <a:off x="8465344" y="411956"/>
          <a:ext cx="5664994" cy="3364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/>
            <a:t>🟢 </a:t>
          </a:r>
          <a:r>
            <a:rPr lang="en-US" sz="1100"/>
            <a:t>Carrd – Project Description</a:t>
          </a:r>
        </a:p>
        <a:p>
          <a:r>
            <a:rPr lang="el-GR" sz="1100"/>
            <a:t>💧 </a:t>
          </a:r>
          <a:r>
            <a:rPr lang="en-US" sz="1100"/>
            <a:t>Water Scarcity in Greece (2000–2023)</a:t>
          </a:r>
        </a:p>
        <a:p>
          <a:r>
            <a:rPr lang="en-US" sz="1100"/>
            <a:t>A structural data analysis of water abstraction and sectoral consumption</a:t>
          </a:r>
        </a:p>
        <a:p>
          <a:r>
            <a:rPr lang="en-US" sz="1100"/>
            <a:t>This project analyzes long-term trends in water abstraction and water use in Greece based on official ELSTAT data.</a:t>
          </a:r>
        </a:p>
        <a:p>
          <a:r>
            <a:rPr lang="en-US" sz="1100"/>
            <a:t>The analysis focuses on identifying structural pressure on national water resources and the sectoral drivers behind it.</a:t>
          </a:r>
        </a:p>
        <a:p>
          <a:r>
            <a:rPr lang="en-US" sz="1100"/>
            <a:t>Key insights:</a:t>
          </a:r>
        </a:p>
        <a:p>
          <a:r>
            <a:rPr lang="en-US" sz="1100"/>
            <a:t>Water use remains very close to total abstraction after 2011</a:t>
          </a:r>
        </a:p>
        <a:p>
          <a:r>
            <a:rPr lang="en-US" sz="1100"/>
            <a:t>Agriculture dominates national water consumption</a:t>
          </a:r>
        </a:p>
        <a:p>
          <a:r>
            <a:rPr lang="en-US" sz="1100"/>
            <a:t>Limited structural change over time</a:t>
          </a:r>
        </a:p>
        <a:p>
          <a:r>
            <a:rPr lang="en-US" sz="1100"/>
            <a:t>Tools:</a:t>
          </a:r>
        </a:p>
        <a:p>
          <a:r>
            <a:rPr lang="en-US" sz="1100"/>
            <a:t>Excel (data cleaning, KPIs, visualization)</a:t>
          </a:r>
        </a:p>
        <a:p>
          <a:r>
            <a:rPr lang="en-US" sz="1100"/>
            <a:t>Data source:</a:t>
          </a:r>
        </a:p>
        <a:p>
          <a:r>
            <a:rPr lang="en-US" sz="1100"/>
            <a:t>Hellenic Statistical Authority (ELSTAT)</a:t>
          </a:r>
        </a:p>
        <a:p>
          <a:r>
            <a:rPr lang="el-GR" sz="1100"/>
            <a:t>📌 </a:t>
          </a:r>
          <a:r>
            <a:rPr lang="en-US" sz="1100"/>
            <a:t>Bonus (caption </a:t>
          </a:r>
          <a:r>
            <a:rPr lang="el-GR" sz="1100"/>
            <a:t>κάτω από τα </a:t>
          </a:r>
          <a:r>
            <a:rPr lang="en-US" sz="1100"/>
            <a:t>charts </a:t>
          </a:r>
          <a:r>
            <a:rPr lang="el-GR" sz="1100"/>
            <a:t>στο </a:t>
          </a:r>
          <a:r>
            <a:rPr lang="en-US" sz="1100"/>
            <a:t>Carrd)</a:t>
          </a:r>
        </a:p>
        <a:p>
          <a:r>
            <a:rPr lang="en-US" sz="1100"/>
            <a:t>Water use in Greece remains structurally close to total abstraction, with agriculture accounting for the largest share of consumption.</a:t>
          </a:r>
          <a:endParaRPr lang="el-GR" sz="1100"/>
        </a:p>
      </xdr:txBody>
    </xdr:sp>
    <xdr:clientData/>
  </xdr:twoCellAnchor>
  <xdr:oneCellAnchor>
    <xdr:from>
      <xdr:col>15</xdr:col>
      <xdr:colOff>80963</xdr:colOff>
      <xdr:row>13</xdr:row>
      <xdr:rowOff>157163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24316E-8A5C-4E2C-ADF2-D1B8E87483E3}"/>
            </a:ext>
          </a:extLst>
        </xdr:cNvPr>
        <xdr:cNvSpPr txBox="1"/>
      </xdr:nvSpPr>
      <xdr:spPr>
        <a:xfrm>
          <a:off x="9796463" y="25098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FC7D3-0558-4D16-80A7-97D7641FD2B2}" name="Table1" displayName="Table1" ref="A1:I27" totalsRowShown="0">
  <tableColumns count="9">
    <tableColumn id="1" xr3:uid="{820E375D-5B66-49FC-89A4-C06E2AC521CE}" name="Column1"/>
    <tableColumn id="2" xr3:uid="{7AD3ADDD-DD04-4EDF-95AD-5F7EDD0AA134}" name="Column2"/>
    <tableColumn id="3" xr3:uid="{6D3F830D-E186-4344-8259-D6C34DB47C06}" name="Column3"/>
    <tableColumn id="4" xr3:uid="{3DA2B09D-973B-4B4E-A45E-E2A476AE933F}" name="Column4"/>
    <tableColumn id="5" xr3:uid="{EDE9E058-4C96-4296-AAD8-6BD35652FA91}" name="Column5"/>
    <tableColumn id="6" xr3:uid="{FB6BA87B-E08D-47DE-BE2C-69A00BAE1673}" name="Column6"/>
    <tableColumn id="7" xr3:uid="{A9C7EA6A-E5E3-4AC5-805D-413F1D859336}" name="Column7"/>
    <tableColumn id="8" xr3:uid="{94F57AFE-A755-492A-9EE1-3D23D445DC54}" name="Column8"/>
    <tableColumn id="9" xr3:uid="{65029824-34E6-4793-82BE-F06B5239C033}" name="Column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9669A-7C70-43DE-9CB3-C92BBF34ADEE}" name="Table2" displayName="Table2" ref="M1:P27" totalsRowShown="0">
  <autoFilter ref="M1:P27" xr:uid="{67F9669A-7C70-43DE-9CB3-C92BBF34ADEE}"/>
  <tableColumns count="4">
    <tableColumn id="1" xr3:uid="{614751DF-3975-49AE-AFD7-C008725B766C}" name="Year"/>
    <tableColumn id="2" xr3:uid="{EE87A9B6-C7D1-4580-845C-3ACCD09AD377}" name="Total_Abstraction"/>
    <tableColumn id="3" xr3:uid="{D0DB67AE-6A52-44DF-8E43-E0378111BE25}" name="Total_Use"/>
    <tableColumn id="4" xr3:uid="{CD04319B-C615-45F5-86A2-0D08E1F87B87}" name="Stress_%" dataDxfId="0">
      <calculatedColumnFormula xml:space="preserve"> C2 / B2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3C794D-669B-4AE1-B857-2EC7F1E87552}" name="Table3" displayName="Table3" ref="A69:B73" totalsRowShown="0">
  <autoFilter ref="A69:B73" xr:uid="{F73C794D-669B-4AE1-B857-2EC7F1E87552}"/>
  <tableColumns count="2">
    <tableColumn id="1" xr3:uid="{7B9CFE3A-C3DE-48E7-9AE3-15332F9095E9}" name="Column1"/>
    <tableColumn id="2" xr3:uid="{B7AC8C91-CB59-4A97-BB65-3FAAD725E4D4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tatistics.gr/en/statistics/-/publication/SOP07/-" TargetMode="External"/><Relationship Id="rId1" Type="http://schemas.openxmlformats.org/officeDocument/2006/relationships/hyperlink" Target="http://www.statistics.gr/el/statistics/-/publication/SOP07/-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statistics.gr/en/statistics/-/publication/SOP07/-" TargetMode="External"/><Relationship Id="rId1" Type="http://schemas.openxmlformats.org/officeDocument/2006/relationships/hyperlink" Target="http://www.statistics.gr/el/statistics/-/publication/SOP07/-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9B9D-CE9B-4738-A200-02435211932B}">
  <dimension ref="A1:AB70"/>
  <sheetViews>
    <sheetView topLeftCell="A13" workbookViewId="0">
      <selection activeCell="E31" sqref="E31:AB31"/>
    </sheetView>
  </sheetViews>
  <sheetFormatPr defaultRowHeight="14.25" x14ac:dyDescent="0.45"/>
  <cols>
    <col min="1" max="1" width="17.265625" customWidth="1"/>
    <col min="2" max="2" width="25.59765625" style="1" customWidth="1"/>
    <col min="3" max="3" width="12" style="48" customWidth="1"/>
    <col min="4" max="4" width="8.1328125" style="1" hidden="1" customWidth="1"/>
    <col min="5" max="15" width="8.73046875" style="1" customWidth="1"/>
    <col min="16" max="16" width="16.3984375" style="1" customWidth="1"/>
    <col min="17" max="17" width="9.59765625" style="1" customWidth="1"/>
    <col min="18" max="18" width="10.86328125" style="1" customWidth="1"/>
    <col min="19" max="19" width="10.73046875" style="1" customWidth="1"/>
    <col min="20" max="20" width="11.265625" customWidth="1"/>
    <col min="21" max="21" width="9.1328125" bestFit="1" customWidth="1"/>
    <col min="27" max="27" width="9.59765625" customWidth="1"/>
  </cols>
  <sheetData>
    <row r="1" spans="1:28" ht="7.15" customHeight="1" x14ac:dyDescent="0.4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8" ht="16.149999999999999" customHeight="1" x14ac:dyDescent="0.45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</row>
    <row r="3" spans="1:28" ht="14.45" customHeight="1" x14ac:dyDescent="0.45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</row>
    <row r="4" spans="1:28" ht="13.15" customHeight="1" x14ac:dyDescent="0.45">
      <c r="A4" s="106" t="s">
        <v>1</v>
      </c>
      <c r="B4" s="107"/>
      <c r="C4" s="107"/>
      <c r="D4" s="108" t="s">
        <v>2</v>
      </c>
      <c r="Y4" s="2"/>
    </row>
    <row r="5" spans="1:28" s="11" customFormat="1" ht="13.15" customHeight="1" x14ac:dyDescent="0.35">
      <c r="A5" s="3" t="s">
        <v>3</v>
      </c>
      <c r="B5" s="3" t="s">
        <v>4</v>
      </c>
      <c r="C5" s="4" t="s">
        <v>5</v>
      </c>
      <c r="D5" s="109"/>
      <c r="E5" s="5">
        <v>2000</v>
      </c>
      <c r="F5" s="5">
        <v>2001</v>
      </c>
      <c r="G5" s="5">
        <v>2002</v>
      </c>
      <c r="H5" s="5">
        <v>2003</v>
      </c>
      <c r="I5" s="5">
        <v>2004</v>
      </c>
      <c r="J5" s="5">
        <v>2005</v>
      </c>
      <c r="K5" s="6">
        <v>2006</v>
      </c>
      <c r="L5" s="6">
        <v>2007</v>
      </c>
      <c r="M5" s="7">
        <v>2008</v>
      </c>
      <c r="N5" s="7">
        <v>2009</v>
      </c>
      <c r="O5" s="7">
        <v>2010</v>
      </c>
      <c r="P5" s="7">
        <v>2011</v>
      </c>
      <c r="Q5" s="7">
        <v>2012</v>
      </c>
      <c r="R5" s="7">
        <v>2013</v>
      </c>
      <c r="S5" s="7">
        <v>2014</v>
      </c>
      <c r="T5" s="7">
        <v>2015</v>
      </c>
      <c r="U5" s="7">
        <v>2016</v>
      </c>
      <c r="V5" s="7">
        <v>2017</v>
      </c>
      <c r="W5" s="7">
        <v>2018</v>
      </c>
      <c r="X5" s="8">
        <v>2019</v>
      </c>
      <c r="Y5" s="9">
        <v>2020</v>
      </c>
      <c r="Z5" s="9">
        <v>2021</v>
      </c>
      <c r="AA5" s="10">
        <v>2022</v>
      </c>
      <c r="AB5" s="10" t="s">
        <v>6</v>
      </c>
    </row>
    <row r="6" spans="1:28" ht="13.15" customHeight="1" x14ac:dyDescent="0.45">
      <c r="A6" s="110" t="s">
        <v>7</v>
      </c>
      <c r="B6" s="12" t="s">
        <v>8</v>
      </c>
      <c r="C6" s="13"/>
      <c r="D6" s="14"/>
      <c r="E6" s="15">
        <v>6471</v>
      </c>
      <c r="F6" s="15">
        <v>6383.7</v>
      </c>
      <c r="G6" s="15">
        <v>6071.7</v>
      </c>
      <c r="H6" s="15">
        <v>5734.6</v>
      </c>
      <c r="I6" s="15">
        <v>5842.8</v>
      </c>
      <c r="J6" s="15">
        <v>5882.3</v>
      </c>
      <c r="K6" s="15">
        <v>5768</v>
      </c>
      <c r="L6" s="15">
        <v>5820.5</v>
      </c>
      <c r="M6" s="15" t="s">
        <v>9</v>
      </c>
      <c r="N6" s="15" t="s">
        <v>9</v>
      </c>
      <c r="O6" s="15" t="s">
        <v>9</v>
      </c>
      <c r="P6" s="16">
        <v>4409.54</v>
      </c>
      <c r="Q6" s="16">
        <v>4414.76</v>
      </c>
      <c r="R6" s="16">
        <v>4414.83</v>
      </c>
      <c r="S6" s="16">
        <v>4401.22</v>
      </c>
      <c r="T6" s="16">
        <v>4403.07</v>
      </c>
      <c r="U6" s="15">
        <v>3903.674</v>
      </c>
      <c r="V6" s="15">
        <v>3900.634</v>
      </c>
      <c r="W6" s="15">
        <v>3897.5940000000001</v>
      </c>
      <c r="X6" s="17">
        <v>3886.8649999999998</v>
      </c>
      <c r="Y6" s="18">
        <v>3898.7</v>
      </c>
      <c r="Z6" s="18">
        <v>3863.5956680000004</v>
      </c>
      <c r="AA6" s="18">
        <v>3860.12</v>
      </c>
      <c r="AB6" s="18">
        <v>3845.59</v>
      </c>
    </row>
    <row r="7" spans="1:28" ht="13.15" customHeight="1" x14ac:dyDescent="0.45">
      <c r="A7" s="111"/>
      <c r="B7" s="19" t="s">
        <v>10</v>
      </c>
      <c r="C7" s="20"/>
      <c r="D7" s="21"/>
      <c r="E7" s="22">
        <v>574</v>
      </c>
      <c r="F7" s="22">
        <v>564</v>
      </c>
      <c r="G7" s="22">
        <v>572.79999999999995</v>
      </c>
      <c r="H7" s="22">
        <v>588.79999999999995</v>
      </c>
      <c r="I7" s="22">
        <v>636.4</v>
      </c>
      <c r="J7" s="22">
        <v>630.6</v>
      </c>
      <c r="K7" s="22">
        <v>657.8</v>
      </c>
      <c r="L7" s="22">
        <v>648.29999999999995</v>
      </c>
      <c r="M7" s="22" t="s">
        <v>9</v>
      </c>
      <c r="N7" s="22" t="s">
        <v>9</v>
      </c>
      <c r="O7" s="22" t="s">
        <v>9</v>
      </c>
      <c r="P7" s="22">
        <v>628.5</v>
      </c>
      <c r="Q7" s="22">
        <v>628.5</v>
      </c>
      <c r="R7" s="22">
        <v>628.5</v>
      </c>
      <c r="S7" s="22">
        <v>628.5</v>
      </c>
      <c r="T7" s="22">
        <v>628.5</v>
      </c>
      <c r="U7" s="22">
        <v>936.83600000000001</v>
      </c>
      <c r="V7" s="22">
        <v>936.83600000000001</v>
      </c>
      <c r="W7" s="22">
        <v>936.83600000000001</v>
      </c>
      <c r="X7" s="23">
        <v>936.83600000000001</v>
      </c>
      <c r="Y7" s="23">
        <v>936.83600000000001</v>
      </c>
      <c r="Z7" s="23">
        <v>936.83600000000001</v>
      </c>
      <c r="AA7" s="23">
        <v>655.32000000000005</v>
      </c>
      <c r="AB7" s="23">
        <v>655.32000000000005</v>
      </c>
    </row>
    <row r="8" spans="1:28" ht="13.15" customHeight="1" x14ac:dyDescent="0.45">
      <c r="A8" s="111"/>
      <c r="B8" s="24" t="s">
        <v>11</v>
      </c>
      <c r="C8" s="20" t="s">
        <v>12</v>
      </c>
      <c r="D8" s="25"/>
      <c r="E8" s="22">
        <v>5876.6</v>
      </c>
      <c r="F8" s="22">
        <v>5794.7</v>
      </c>
      <c r="G8" s="22">
        <v>5472.9</v>
      </c>
      <c r="H8" s="22">
        <v>5119.3</v>
      </c>
      <c r="I8" s="22">
        <v>5172.3999999999996</v>
      </c>
      <c r="J8" s="22">
        <v>5219.7</v>
      </c>
      <c r="K8" s="22">
        <v>5073.2</v>
      </c>
      <c r="L8" s="22">
        <v>5074.8</v>
      </c>
      <c r="M8" s="22" t="s">
        <v>9</v>
      </c>
      <c r="N8" s="22" t="s">
        <v>9</v>
      </c>
      <c r="O8" s="22" t="s">
        <v>9</v>
      </c>
      <c r="P8" s="22">
        <v>3615.4</v>
      </c>
      <c r="Q8" s="22">
        <v>3615.4</v>
      </c>
      <c r="R8" s="22">
        <v>3615.4</v>
      </c>
      <c r="S8" s="22">
        <v>3615.4</v>
      </c>
      <c r="T8" s="22">
        <v>3615.4</v>
      </c>
      <c r="U8" s="22">
        <v>2801.6390000000001</v>
      </c>
      <c r="V8" s="22">
        <v>2801.6390000000001</v>
      </c>
      <c r="W8" s="22">
        <v>2801.6390000000001</v>
      </c>
      <c r="X8" s="23">
        <v>2801.6390000000001</v>
      </c>
      <c r="Y8" s="23">
        <v>2801.6390000000001</v>
      </c>
      <c r="Z8" s="23">
        <v>2801.6390000000001</v>
      </c>
      <c r="AA8" s="23">
        <v>3107.05</v>
      </c>
      <c r="AB8" s="23">
        <v>3107.05</v>
      </c>
    </row>
    <row r="9" spans="1:28" ht="13.15" customHeight="1" x14ac:dyDescent="0.45">
      <c r="A9" s="111"/>
      <c r="B9" s="26" t="s">
        <v>13</v>
      </c>
      <c r="C9" s="20"/>
      <c r="D9" s="25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7"/>
      <c r="R9" s="27"/>
      <c r="S9" s="27"/>
      <c r="T9" s="27"/>
      <c r="U9" s="27"/>
      <c r="V9" s="27"/>
      <c r="W9" s="27"/>
      <c r="X9" s="28"/>
      <c r="Y9" s="29"/>
      <c r="Z9" s="29"/>
    </row>
    <row r="10" spans="1:28" ht="13.15" customHeight="1" x14ac:dyDescent="0.45">
      <c r="A10" s="111"/>
      <c r="B10" s="30" t="s">
        <v>14</v>
      </c>
      <c r="C10" s="20"/>
      <c r="D10" s="25"/>
      <c r="E10" s="27">
        <v>5876.6</v>
      </c>
      <c r="F10" s="27">
        <v>5794.7</v>
      </c>
      <c r="G10" s="27">
        <v>5472.9</v>
      </c>
      <c r="H10" s="27">
        <v>5119.3</v>
      </c>
      <c r="I10" s="27">
        <v>5172.3999999999996</v>
      </c>
      <c r="J10" s="27">
        <v>5219.7</v>
      </c>
      <c r="K10" s="27">
        <v>5073.2</v>
      </c>
      <c r="L10" s="27">
        <v>5074.8</v>
      </c>
      <c r="M10" s="27" t="s">
        <v>9</v>
      </c>
      <c r="N10" s="27" t="s">
        <v>9</v>
      </c>
      <c r="O10" s="27" t="s">
        <v>9</v>
      </c>
      <c r="P10" s="27">
        <v>3612.78</v>
      </c>
      <c r="Q10" s="27">
        <v>3612.78</v>
      </c>
      <c r="R10" s="27">
        <v>3612.78</v>
      </c>
      <c r="S10" s="27">
        <v>3612.78</v>
      </c>
      <c r="T10" s="27">
        <v>3612.78</v>
      </c>
      <c r="U10" s="27">
        <v>2795.2849999999999</v>
      </c>
      <c r="V10" s="27">
        <v>2795.2849999999999</v>
      </c>
      <c r="W10" s="27">
        <v>2795.2849999999999</v>
      </c>
      <c r="X10" s="31">
        <v>2795.2849999999999</v>
      </c>
      <c r="Y10" s="31">
        <v>2795.2849999999999</v>
      </c>
      <c r="Z10" s="31">
        <v>2795.2849999999999</v>
      </c>
      <c r="AA10" s="31">
        <v>3106.75</v>
      </c>
      <c r="AB10" s="31">
        <v>3106.75</v>
      </c>
    </row>
    <row r="11" spans="1:28" ht="13.15" customHeight="1" x14ac:dyDescent="0.45">
      <c r="A11" s="111"/>
      <c r="B11" s="30" t="s">
        <v>15</v>
      </c>
      <c r="C11" s="32"/>
      <c r="D11" s="33"/>
      <c r="E11" s="27" t="s">
        <v>9</v>
      </c>
      <c r="F11" s="27" t="s">
        <v>9</v>
      </c>
      <c r="G11" s="27" t="s">
        <v>9</v>
      </c>
      <c r="H11" s="27" t="s">
        <v>9</v>
      </c>
      <c r="I11" s="27" t="s">
        <v>9</v>
      </c>
      <c r="J11" s="27" t="s">
        <v>9</v>
      </c>
      <c r="K11" s="27" t="s">
        <v>9</v>
      </c>
      <c r="L11" s="27" t="s">
        <v>9</v>
      </c>
      <c r="M11" s="27" t="s">
        <v>9</v>
      </c>
      <c r="N11" s="27" t="s">
        <v>9</v>
      </c>
      <c r="O11" s="27" t="s">
        <v>9</v>
      </c>
      <c r="P11" s="27" t="s">
        <v>9</v>
      </c>
      <c r="Q11" s="27" t="s">
        <v>9</v>
      </c>
      <c r="R11" s="27" t="s">
        <v>9</v>
      </c>
      <c r="S11" s="27" t="s">
        <v>9</v>
      </c>
      <c r="T11" s="27" t="s">
        <v>9</v>
      </c>
      <c r="U11" s="27" t="s">
        <v>9</v>
      </c>
      <c r="V11" s="27" t="s">
        <v>9</v>
      </c>
      <c r="W11" s="27" t="s">
        <v>9</v>
      </c>
      <c r="X11" s="27" t="s">
        <v>9</v>
      </c>
      <c r="Y11" s="27" t="s">
        <v>9</v>
      </c>
      <c r="Z11" s="27" t="s">
        <v>9</v>
      </c>
      <c r="AA11" s="34" t="s">
        <v>9</v>
      </c>
      <c r="AB11" s="34" t="s">
        <v>9</v>
      </c>
    </row>
    <row r="12" spans="1:28" ht="13.15" customHeight="1" x14ac:dyDescent="0.45">
      <c r="A12" s="111"/>
      <c r="B12" s="19" t="s">
        <v>16</v>
      </c>
      <c r="C12" s="32" t="s">
        <v>17</v>
      </c>
      <c r="D12" s="35"/>
      <c r="E12" s="22">
        <v>20.5</v>
      </c>
      <c r="F12" s="22">
        <v>25</v>
      </c>
      <c r="G12" s="22">
        <v>26</v>
      </c>
      <c r="H12" s="22">
        <v>26.5</v>
      </c>
      <c r="I12" s="22">
        <v>34</v>
      </c>
      <c r="J12" s="22">
        <v>32</v>
      </c>
      <c r="K12" s="22">
        <v>37</v>
      </c>
      <c r="L12" s="22">
        <v>24</v>
      </c>
      <c r="M12" s="22" t="s">
        <v>9</v>
      </c>
      <c r="N12" s="22" t="s">
        <v>9</v>
      </c>
      <c r="O12" s="22" t="s">
        <v>18</v>
      </c>
      <c r="P12" s="22" t="s">
        <v>18</v>
      </c>
      <c r="Q12" s="22" t="s">
        <v>18</v>
      </c>
      <c r="R12" s="22" t="s">
        <v>18</v>
      </c>
      <c r="S12" s="22" t="s">
        <v>18</v>
      </c>
      <c r="T12" s="22" t="s">
        <v>18</v>
      </c>
      <c r="U12" s="22" t="s">
        <v>18</v>
      </c>
      <c r="V12" s="22" t="s">
        <v>18</v>
      </c>
      <c r="W12" s="22" t="s">
        <v>18</v>
      </c>
      <c r="X12" s="23" t="s">
        <v>19</v>
      </c>
      <c r="Y12" s="23" t="s">
        <v>19</v>
      </c>
      <c r="Z12" s="23" t="s">
        <v>19</v>
      </c>
      <c r="AA12" s="23" t="s">
        <v>19</v>
      </c>
      <c r="AB12" s="23" t="s">
        <v>19</v>
      </c>
    </row>
    <row r="13" spans="1:28" ht="13.15" customHeight="1" x14ac:dyDescent="0.45">
      <c r="A13" s="111"/>
      <c r="B13" s="3" t="s">
        <v>20</v>
      </c>
      <c r="C13" s="20" t="s">
        <v>21</v>
      </c>
      <c r="D13" s="36"/>
      <c r="E13" s="22" t="s">
        <v>9</v>
      </c>
      <c r="F13" s="22" t="s">
        <v>9</v>
      </c>
      <c r="G13" s="22" t="s">
        <v>9</v>
      </c>
      <c r="H13" s="22" t="s">
        <v>9</v>
      </c>
      <c r="I13" s="22" t="s">
        <v>9</v>
      </c>
      <c r="J13" s="22" t="s">
        <v>9</v>
      </c>
      <c r="K13" s="22" t="s">
        <v>9</v>
      </c>
      <c r="L13" s="22" t="s">
        <v>9</v>
      </c>
      <c r="M13" s="22" t="s">
        <v>9</v>
      </c>
      <c r="N13" s="22" t="s">
        <v>9</v>
      </c>
      <c r="O13" s="22" t="s">
        <v>9</v>
      </c>
      <c r="P13" s="22">
        <v>1.59</v>
      </c>
      <c r="Q13" s="22">
        <v>1.59</v>
      </c>
      <c r="R13" s="22">
        <v>1.59</v>
      </c>
      <c r="S13" s="22">
        <v>1.59</v>
      </c>
      <c r="T13" s="22">
        <v>1.59</v>
      </c>
      <c r="U13" s="22">
        <v>24.19</v>
      </c>
      <c r="V13" s="22">
        <v>24.19</v>
      </c>
      <c r="W13" s="22">
        <v>24.19</v>
      </c>
      <c r="X13" s="23">
        <v>24.19</v>
      </c>
      <c r="Y13" s="23">
        <v>24.19</v>
      </c>
      <c r="Z13" s="23">
        <v>24.19</v>
      </c>
      <c r="AA13" s="23">
        <v>8.11</v>
      </c>
      <c r="AB13" s="23">
        <v>8.11</v>
      </c>
    </row>
    <row r="14" spans="1:28" ht="27" customHeight="1" x14ac:dyDescent="0.45">
      <c r="A14" s="111"/>
      <c r="B14" s="3" t="s">
        <v>22</v>
      </c>
      <c r="C14" s="37" t="s">
        <v>23</v>
      </c>
      <c r="D14" s="38"/>
      <c r="E14" s="22" t="s">
        <v>9</v>
      </c>
      <c r="F14" s="22" t="s">
        <v>9</v>
      </c>
      <c r="G14" s="22" t="s">
        <v>9</v>
      </c>
      <c r="H14" s="22" t="s">
        <v>9</v>
      </c>
      <c r="I14" s="22" t="s">
        <v>9</v>
      </c>
      <c r="J14" s="22" t="s">
        <v>9</v>
      </c>
      <c r="K14" s="22" t="s">
        <v>9</v>
      </c>
      <c r="L14" s="22">
        <v>73.5</v>
      </c>
      <c r="M14" s="22" t="s">
        <v>9</v>
      </c>
      <c r="N14" s="22" t="s">
        <v>9</v>
      </c>
      <c r="O14" s="22" t="s">
        <v>18</v>
      </c>
      <c r="P14" s="22" t="s">
        <v>18</v>
      </c>
      <c r="Q14" s="22" t="s">
        <v>18</v>
      </c>
      <c r="R14" s="22" t="s">
        <v>18</v>
      </c>
      <c r="S14" s="22" t="s">
        <v>18</v>
      </c>
      <c r="T14" s="22" t="s">
        <v>18</v>
      </c>
      <c r="U14" s="22" t="s">
        <v>18</v>
      </c>
      <c r="V14" s="22" t="s">
        <v>18</v>
      </c>
      <c r="W14" s="22" t="s">
        <v>18</v>
      </c>
      <c r="X14" s="23" t="s">
        <v>19</v>
      </c>
      <c r="Y14" s="23" t="s">
        <v>19</v>
      </c>
      <c r="Z14" s="23" t="s">
        <v>19</v>
      </c>
      <c r="AA14" s="23" t="s">
        <v>19</v>
      </c>
      <c r="AB14" s="23" t="s">
        <v>19</v>
      </c>
    </row>
    <row r="15" spans="1:28" ht="13.15" customHeight="1" x14ac:dyDescent="0.45">
      <c r="A15" s="111"/>
      <c r="B15" s="3" t="s">
        <v>24</v>
      </c>
      <c r="C15" s="37" t="s">
        <v>25</v>
      </c>
      <c r="D15" s="38"/>
      <c r="E15" s="22" t="s">
        <v>9</v>
      </c>
      <c r="F15" s="22" t="s">
        <v>9</v>
      </c>
      <c r="G15" s="22" t="s">
        <v>9</v>
      </c>
      <c r="H15" s="22" t="s">
        <v>9</v>
      </c>
      <c r="I15" s="22" t="s">
        <v>9</v>
      </c>
      <c r="J15" s="22" t="s">
        <v>9</v>
      </c>
      <c r="K15" s="22" t="s">
        <v>9</v>
      </c>
      <c r="L15" s="22" t="s">
        <v>9</v>
      </c>
      <c r="M15" s="22" t="s">
        <v>9</v>
      </c>
      <c r="N15" s="22" t="s">
        <v>9</v>
      </c>
      <c r="O15" s="22" t="s">
        <v>9</v>
      </c>
      <c r="P15" s="22" t="s">
        <v>9</v>
      </c>
      <c r="Q15" s="22" t="s">
        <v>9</v>
      </c>
      <c r="R15" s="22" t="s">
        <v>9</v>
      </c>
      <c r="S15" s="22" t="s">
        <v>9</v>
      </c>
      <c r="T15" s="22" t="s">
        <v>9</v>
      </c>
      <c r="U15" s="22" t="s">
        <v>9</v>
      </c>
      <c r="V15" s="22" t="s">
        <v>9</v>
      </c>
      <c r="W15" s="22" t="s">
        <v>9</v>
      </c>
      <c r="X15" s="22" t="s">
        <v>9</v>
      </c>
      <c r="Y15" s="22" t="s">
        <v>9</v>
      </c>
      <c r="Z15" s="22" t="s">
        <v>9</v>
      </c>
      <c r="AA15" s="39" t="s">
        <v>9</v>
      </c>
      <c r="AB15" s="39" t="s">
        <v>9</v>
      </c>
    </row>
    <row r="16" spans="1:28" ht="13.15" customHeight="1" x14ac:dyDescent="0.45">
      <c r="A16" s="111"/>
      <c r="B16" s="40" t="s">
        <v>26</v>
      </c>
      <c r="C16" s="37" t="s">
        <v>27</v>
      </c>
      <c r="D16" s="41"/>
      <c r="E16" s="22" t="s">
        <v>9</v>
      </c>
      <c r="F16" s="22" t="s">
        <v>9</v>
      </c>
      <c r="G16" s="22" t="s">
        <v>9</v>
      </c>
      <c r="H16" s="22" t="s">
        <v>9</v>
      </c>
      <c r="I16" s="22" t="s">
        <v>9</v>
      </c>
      <c r="J16" s="22" t="s">
        <v>9</v>
      </c>
      <c r="K16" s="22" t="s">
        <v>9</v>
      </c>
      <c r="L16" s="22" t="s">
        <v>9</v>
      </c>
      <c r="M16" s="22" t="s">
        <v>9</v>
      </c>
      <c r="N16" s="22" t="s">
        <v>9</v>
      </c>
      <c r="O16" s="22" t="s">
        <v>9</v>
      </c>
      <c r="P16" s="22" t="s">
        <v>9</v>
      </c>
      <c r="Q16" s="22" t="s">
        <v>9</v>
      </c>
      <c r="R16" s="22" t="s">
        <v>9</v>
      </c>
      <c r="S16" s="22" t="s">
        <v>9</v>
      </c>
      <c r="T16" s="22" t="s">
        <v>9</v>
      </c>
      <c r="U16" s="22" t="s">
        <v>9</v>
      </c>
      <c r="V16" s="22" t="s">
        <v>9</v>
      </c>
      <c r="W16" s="22" t="s">
        <v>9</v>
      </c>
      <c r="X16" s="22" t="s">
        <v>9</v>
      </c>
      <c r="Y16" s="22" t="s">
        <v>9</v>
      </c>
      <c r="Z16" s="22" t="s">
        <v>9</v>
      </c>
      <c r="AA16" s="39" t="s">
        <v>9</v>
      </c>
      <c r="AB16" s="39" t="s">
        <v>9</v>
      </c>
    </row>
    <row r="17" spans="1:28" ht="13.15" customHeight="1" x14ac:dyDescent="0.45">
      <c r="A17" s="112"/>
      <c r="B17" s="19" t="s">
        <v>28</v>
      </c>
      <c r="C17" s="20"/>
      <c r="D17" s="21"/>
      <c r="E17" s="22" t="s">
        <v>9</v>
      </c>
      <c r="F17" s="22" t="s">
        <v>9</v>
      </c>
      <c r="G17" s="22" t="s">
        <v>9</v>
      </c>
      <c r="H17" s="22" t="s">
        <v>9</v>
      </c>
      <c r="I17" s="22" t="s">
        <v>9</v>
      </c>
      <c r="J17" s="22" t="s">
        <v>9</v>
      </c>
      <c r="K17" s="22" t="s">
        <v>9</v>
      </c>
      <c r="L17" s="22" t="s">
        <v>9</v>
      </c>
      <c r="M17" s="22" t="s">
        <v>9</v>
      </c>
      <c r="N17" s="22" t="s">
        <v>9</v>
      </c>
      <c r="O17" s="22" t="s">
        <v>9</v>
      </c>
      <c r="P17" s="22">
        <v>0</v>
      </c>
      <c r="Q17" s="22">
        <v>0</v>
      </c>
      <c r="R17" s="22">
        <v>0</v>
      </c>
      <c r="S17" s="22">
        <v>0</v>
      </c>
      <c r="T17" s="42">
        <v>0</v>
      </c>
      <c r="U17" s="42">
        <v>0</v>
      </c>
      <c r="V17" s="42">
        <v>0</v>
      </c>
      <c r="W17" s="42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</row>
    <row r="18" spans="1:28" ht="13.15" customHeight="1" x14ac:dyDescent="0.45">
      <c r="A18" s="110" t="s">
        <v>29</v>
      </c>
      <c r="B18" s="12" t="s">
        <v>8</v>
      </c>
      <c r="C18" s="44"/>
      <c r="D18" s="45"/>
      <c r="E18" s="15">
        <v>3453.4</v>
      </c>
      <c r="F18" s="15">
        <v>3390</v>
      </c>
      <c r="G18" s="15">
        <v>3187.8</v>
      </c>
      <c r="H18" s="15">
        <v>3721.3</v>
      </c>
      <c r="I18" s="15">
        <v>3733.6</v>
      </c>
      <c r="J18" s="15">
        <v>3771.6</v>
      </c>
      <c r="K18" s="15">
        <v>3679.3</v>
      </c>
      <c r="L18" s="15">
        <v>3651.1</v>
      </c>
      <c r="M18" s="15" t="s">
        <v>9</v>
      </c>
      <c r="N18" s="15" t="s">
        <v>9</v>
      </c>
      <c r="O18" s="15" t="s">
        <v>9</v>
      </c>
      <c r="P18" s="46">
        <v>5618.51</v>
      </c>
      <c r="Q18" s="46">
        <v>5614.8</v>
      </c>
      <c r="R18" s="46">
        <v>5613.12</v>
      </c>
      <c r="S18" s="46">
        <v>5608.21</v>
      </c>
      <c r="T18" s="46">
        <v>5609.62</v>
      </c>
      <c r="U18" s="46">
        <v>6231.94</v>
      </c>
      <c r="V18" s="46">
        <v>6233.2489999999998</v>
      </c>
      <c r="W18" s="46">
        <v>6225.1890000000003</v>
      </c>
      <c r="X18" s="17">
        <v>6228.348</v>
      </c>
      <c r="Y18" s="47">
        <v>6223.38</v>
      </c>
      <c r="Z18" s="18">
        <v>6223.7104515399997</v>
      </c>
      <c r="AA18" s="18">
        <v>4924.66</v>
      </c>
      <c r="AB18" s="18">
        <v>4923.1000000000004</v>
      </c>
    </row>
    <row r="19" spans="1:28" ht="13.15" customHeight="1" x14ac:dyDescent="0.45">
      <c r="A19" s="111"/>
      <c r="B19" s="19" t="s">
        <v>10</v>
      </c>
      <c r="C19" s="20"/>
      <c r="D19" s="21"/>
      <c r="E19" s="22">
        <v>221.3</v>
      </c>
      <c r="F19" s="22">
        <v>195.9</v>
      </c>
      <c r="G19" s="22">
        <v>193.8</v>
      </c>
      <c r="H19" s="22">
        <v>258.39999999999998</v>
      </c>
      <c r="I19" s="22">
        <v>233.3</v>
      </c>
      <c r="J19" s="22">
        <v>237.9</v>
      </c>
      <c r="K19" s="22">
        <v>255.1</v>
      </c>
      <c r="L19" s="22">
        <v>198</v>
      </c>
      <c r="M19" s="22" t="s">
        <v>9</v>
      </c>
      <c r="N19" s="22" t="s">
        <v>9</v>
      </c>
      <c r="O19" s="22" t="s">
        <v>9</v>
      </c>
      <c r="P19" s="22">
        <v>789.89</v>
      </c>
      <c r="Q19" s="22">
        <v>789.89</v>
      </c>
      <c r="R19" s="22">
        <v>789.89</v>
      </c>
      <c r="S19" s="22">
        <v>789.89</v>
      </c>
      <c r="T19" s="22">
        <v>789.89</v>
      </c>
      <c r="U19" s="22">
        <v>750.25800000000004</v>
      </c>
      <c r="V19" s="22">
        <v>750.25800000000004</v>
      </c>
      <c r="W19" s="22">
        <v>750.25800000000004</v>
      </c>
      <c r="X19" s="23">
        <v>750.25800000000004</v>
      </c>
      <c r="Y19" s="23">
        <v>750.25800000000004</v>
      </c>
      <c r="Z19" s="23">
        <v>750.25800000000004</v>
      </c>
      <c r="AA19" s="23">
        <v>690.64</v>
      </c>
      <c r="AB19" s="23">
        <v>690.64</v>
      </c>
    </row>
    <row r="20" spans="1:28" ht="13.15" customHeight="1" x14ac:dyDescent="0.45">
      <c r="A20" s="113"/>
      <c r="B20" s="24" t="s">
        <v>11</v>
      </c>
      <c r="C20" s="20" t="s">
        <v>12</v>
      </c>
      <c r="D20" s="21"/>
      <c r="E20" s="22">
        <v>3190.6</v>
      </c>
      <c r="F20" s="22">
        <v>3146.2</v>
      </c>
      <c r="G20" s="22">
        <v>2946.9</v>
      </c>
      <c r="H20" s="22">
        <v>3412.8</v>
      </c>
      <c r="I20" s="22">
        <v>3448.2</v>
      </c>
      <c r="J20" s="22">
        <v>3479.8</v>
      </c>
      <c r="K20" s="22">
        <v>3382.1</v>
      </c>
      <c r="L20" s="22">
        <v>3383.2</v>
      </c>
      <c r="M20" s="22" t="s">
        <v>9</v>
      </c>
      <c r="N20" s="22" t="s">
        <v>9</v>
      </c>
      <c r="O20" s="22" t="s">
        <v>9</v>
      </c>
      <c r="P20" s="22">
        <v>4667.1400000000003</v>
      </c>
      <c r="Q20" s="22">
        <v>4667.1400000000003</v>
      </c>
      <c r="R20" s="22">
        <v>4667.1400000000003</v>
      </c>
      <c r="S20" s="22">
        <v>4667.1400000000003</v>
      </c>
      <c r="T20" s="22">
        <v>4667.1400000000003</v>
      </c>
      <c r="U20" s="22">
        <v>5305.4539999999997</v>
      </c>
      <c r="V20" s="22">
        <v>5305.4539999999997</v>
      </c>
      <c r="W20" s="22">
        <v>5305.4539999999997</v>
      </c>
      <c r="X20" s="23">
        <v>5305.4539999999997</v>
      </c>
      <c r="Y20" s="23">
        <v>5305.4539999999997</v>
      </c>
      <c r="Z20" s="23">
        <v>5305.4539999999997</v>
      </c>
      <c r="AA20" s="23">
        <v>4033.79</v>
      </c>
      <c r="AB20" s="23">
        <v>4033.79</v>
      </c>
    </row>
    <row r="21" spans="1:28" ht="13.15" customHeight="1" x14ac:dyDescent="0.45">
      <c r="A21" s="113"/>
      <c r="B21" s="26" t="s">
        <v>13</v>
      </c>
      <c r="C21" s="20"/>
      <c r="D21" s="21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8"/>
      <c r="Y21" s="29"/>
      <c r="Z21" s="29"/>
      <c r="AA21" s="29"/>
      <c r="AB21" s="29"/>
    </row>
    <row r="22" spans="1:28" ht="13.15" customHeight="1" x14ac:dyDescent="0.45">
      <c r="A22" s="113"/>
      <c r="B22" s="30" t="s">
        <v>14</v>
      </c>
      <c r="C22" s="20"/>
      <c r="D22" s="21"/>
      <c r="E22" s="27">
        <v>3190.6</v>
      </c>
      <c r="F22" s="27">
        <v>3146.2</v>
      </c>
      <c r="G22" s="27">
        <v>2946.9</v>
      </c>
      <c r="H22" s="27">
        <v>3412.8</v>
      </c>
      <c r="I22" s="27">
        <v>3448.2</v>
      </c>
      <c r="J22" s="27">
        <v>3479.8</v>
      </c>
      <c r="K22" s="27">
        <v>3382.1</v>
      </c>
      <c r="L22" s="27">
        <v>3383.2</v>
      </c>
      <c r="M22" s="27" t="s">
        <v>9</v>
      </c>
      <c r="N22" s="27" t="s">
        <v>9</v>
      </c>
      <c r="O22" s="27" t="s">
        <v>9</v>
      </c>
      <c r="P22" s="27">
        <v>4619.38</v>
      </c>
      <c r="Q22" s="27">
        <v>4619.38</v>
      </c>
      <c r="R22" s="27">
        <v>4619.38</v>
      </c>
      <c r="S22" s="27">
        <v>4619.38</v>
      </c>
      <c r="T22" s="27">
        <v>4619.38</v>
      </c>
      <c r="U22" s="27">
        <v>5231.3500000000004</v>
      </c>
      <c r="V22" s="27">
        <v>5231.3500000000004</v>
      </c>
      <c r="W22" s="27">
        <v>5231.3500000000004</v>
      </c>
      <c r="X22" s="31">
        <v>5231.3500000000004</v>
      </c>
      <c r="Y22" s="31">
        <v>5231.3500000000004</v>
      </c>
      <c r="Z22" s="31">
        <v>5231.3500000000004</v>
      </c>
      <c r="AA22" s="31">
        <v>3972.34</v>
      </c>
      <c r="AB22" s="31">
        <v>3972.34</v>
      </c>
    </row>
    <row r="23" spans="1:28" ht="13.15" customHeight="1" x14ac:dyDescent="0.45">
      <c r="A23" s="113"/>
      <c r="B23" s="30" t="s">
        <v>15</v>
      </c>
      <c r="C23" s="32"/>
      <c r="D23" s="21"/>
      <c r="E23" s="27" t="s">
        <v>9</v>
      </c>
      <c r="F23" s="27" t="s">
        <v>9</v>
      </c>
      <c r="G23" s="27" t="s">
        <v>9</v>
      </c>
      <c r="H23" s="27" t="s">
        <v>9</v>
      </c>
      <c r="I23" s="27" t="s">
        <v>9</v>
      </c>
      <c r="J23" s="27" t="s">
        <v>9</v>
      </c>
      <c r="K23" s="27" t="s">
        <v>9</v>
      </c>
      <c r="L23" s="27" t="s">
        <v>9</v>
      </c>
      <c r="M23" s="27" t="s">
        <v>9</v>
      </c>
      <c r="N23" s="27" t="s">
        <v>9</v>
      </c>
      <c r="O23" s="27" t="s">
        <v>9</v>
      </c>
      <c r="P23" s="27" t="s">
        <v>9</v>
      </c>
      <c r="Q23" s="27" t="s">
        <v>9</v>
      </c>
      <c r="R23" s="27" t="s">
        <v>9</v>
      </c>
      <c r="S23" s="27" t="s">
        <v>9</v>
      </c>
      <c r="T23" s="27" t="s">
        <v>9</v>
      </c>
      <c r="U23" s="27" t="s">
        <v>9</v>
      </c>
      <c r="V23" s="27" t="s">
        <v>9</v>
      </c>
      <c r="W23" s="27" t="s">
        <v>9</v>
      </c>
      <c r="X23" s="27" t="s">
        <v>9</v>
      </c>
      <c r="Y23" s="27" t="s">
        <v>9</v>
      </c>
      <c r="Z23" s="27" t="s">
        <v>9</v>
      </c>
      <c r="AA23" s="34" t="s">
        <v>9</v>
      </c>
      <c r="AB23" s="34" t="s">
        <v>9</v>
      </c>
    </row>
    <row r="24" spans="1:28" ht="13.15" customHeight="1" x14ac:dyDescent="0.45">
      <c r="A24" s="113"/>
      <c r="B24" s="19" t="s">
        <v>16</v>
      </c>
      <c r="C24" s="32" t="s">
        <v>17</v>
      </c>
      <c r="D24" s="21"/>
      <c r="E24" s="22">
        <v>41.5</v>
      </c>
      <c r="F24" s="22">
        <v>48</v>
      </c>
      <c r="G24" s="22">
        <v>47</v>
      </c>
      <c r="H24" s="22">
        <v>50</v>
      </c>
      <c r="I24" s="22">
        <v>52</v>
      </c>
      <c r="J24" s="22">
        <v>54</v>
      </c>
      <c r="K24" s="22">
        <v>42</v>
      </c>
      <c r="L24" s="22">
        <v>43</v>
      </c>
      <c r="M24" s="22" t="s">
        <v>9</v>
      </c>
      <c r="N24" s="22" t="s">
        <v>9</v>
      </c>
      <c r="O24" s="22" t="s">
        <v>18</v>
      </c>
      <c r="P24" s="22" t="s">
        <v>18</v>
      </c>
      <c r="Q24" s="22" t="s">
        <v>18</v>
      </c>
      <c r="R24" s="22" t="s">
        <v>18</v>
      </c>
      <c r="S24" s="22" t="s">
        <v>18</v>
      </c>
      <c r="T24" s="22" t="s">
        <v>18</v>
      </c>
      <c r="U24" s="22" t="s">
        <v>18</v>
      </c>
      <c r="V24" s="22" t="s">
        <v>18</v>
      </c>
      <c r="W24" s="22" t="s">
        <v>18</v>
      </c>
      <c r="X24" s="23" t="s">
        <v>19</v>
      </c>
      <c r="Y24" s="23" t="s">
        <v>19</v>
      </c>
      <c r="Z24" s="23" t="s">
        <v>19</v>
      </c>
      <c r="AA24" s="23" t="s">
        <v>19</v>
      </c>
      <c r="AB24" s="23" t="s">
        <v>19</v>
      </c>
    </row>
    <row r="25" spans="1:28" ht="15.6" customHeight="1" x14ac:dyDescent="0.45">
      <c r="A25" s="111"/>
      <c r="B25" s="3" t="s">
        <v>20</v>
      </c>
      <c r="C25" s="20" t="s">
        <v>21</v>
      </c>
      <c r="D25" s="21"/>
      <c r="E25" s="22" t="s">
        <v>9</v>
      </c>
      <c r="F25" s="22" t="s">
        <v>9</v>
      </c>
      <c r="G25" s="22" t="s">
        <v>9</v>
      </c>
      <c r="H25" s="22" t="s">
        <v>9</v>
      </c>
      <c r="I25" s="22" t="s">
        <v>9</v>
      </c>
      <c r="J25" s="22" t="s">
        <v>9</v>
      </c>
      <c r="K25" s="22" t="s">
        <v>9</v>
      </c>
      <c r="L25" s="22" t="s">
        <v>9</v>
      </c>
      <c r="M25" s="22" t="s">
        <v>9</v>
      </c>
      <c r="N25" s="22" t="s">
        <v>9</v>
      </c>
      <c r="O25" s="22" t="s">
        <v>9</v>
      </c>
      <c r="P25" s="22">
        <v>124.4</v>
      </c>
      <c r="Q25" s="22">
        <v>124.4</v>
      </c>
      <c r="R25" s="22">
        <v>124.4</v>
      </c>
      <c r="S25" s="22">
        <v>124.4</v>
      </c>
      <c r="T25" s="22">
        <v>124.4</v>
      </c>
      <c r="U25" s="22">
        <v>156.23599999999999</v>
      </c>
      <c r="V25" s="22">
        <v>156.23599999999999</v>
      </c>
      <c r="W25" s="22">
        <v>156.23599999999999</v>
      </c>
      <c r="X25" s="23">
        <v>156.23599999999999</v>
      </c>
      <c r="Y25" s="23">
        <v>156.23599999999999</v>
      </c>
      <c r="Z25" s="23">
        <v>156.23599999999999</v>
      </c>
      <c r="AA25" s="23">
        <v>190.32</v>
      </c>
      <c r="AB25" s="23">
        <v>190.32</v>
      </c>
    </row>
    <row r="26" spans="1:28" ht="27" customHeight="1" x14ac:dyDescent="0.45">
      <c r="A26" s="111"/>
      <c r="B26" s="3" t="s">
        <v>22</v>
      </c>
      <c r="C26" s="37" t="s">
        <v>23</v>
      </c>
      <c r="D26" s="21"/>
      <c r="E26" s="22" t="s">
        <v>9</v>
      </c>
      <c r="F26" s="22" t="s">
        <v>9</v>
      </c>
      <c r="G26" s="22" t="s">
        <v>9</v>
      </c>
      <c r="H26" s="22" t="s">
        <v>9</v>
      </c>
      <c r="I26" s="22" t="s">
        <v>9</v>
      </c>
      <c r="J26" s="22" t="s">
        <v>9</v>
      </c>
      <c r="K26" s="22" t="s">
        <v>9</v>
      </c>
      <c r="L26" s="22">
        <v>26.9</v>
      </c>
      <c r="M26" s="22" t="s">
        <v>9</v>
      </c>
      <c r="N26" s="22" t="s">
        <v>9</v>
      </c>
      <c r="O26" s="22" t="s">
        <v>18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22" t="s">
        <v>18</v>
      </c>
      <c r="W26" s="22" t="s">
        <v>18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</row>
    <row r="27" spans="1:28" ht="13.15" customHeight="1" x14ac:dyDescent="0.45">
      <c r="A27" s="111"/>
      <c r="B27" s="3" t="s">
        <v>24</v>
      </c>
      <c r="C27" s="37" t="s">
        <v>25</v>
      </c>
      <c r="D27" s="21"/>
      <c r="E27" s="22" t="s">
        <v>9</v>
      </c>
      <c r="F27" s="22" t="s">
        <v>9</v>
      </c>
      <c r="G27" s="22" t="s">
        <v>9</v>
      </c>
      <c r="H27" s="22" t="s">
        <v>9</v>
      </c>
      <c r="I27" s="22" t="s">
        <v>9</v>
      </c>
      <c r="J27" s="22" t="s">
        <v>9</v>
      </c>
      <c r="K27" s="22" t="s">
        <v>9</v>
      </c>
      <c r="L27" s="22" t="s">
        <v>9</v>
      </c>
      <c r="M27" s="22" t="s">
        <v>9</v>
      </c>
      <c r="N27" s="22" t="s">
        <v>9</v>
      </c>
      <c r="O27" s="22" t="s">
        <v>9</v>
      </c>
      <c r="P27" s="22" t="s">
        <v>9</v>
      </c>
      <c r="Q27" s="22" t="s">
        <v>9</v>
      </c>
      <c r="R27" s="22" t="s">
        <v>9</v>
      </c>
      <c r="S27" s="22" t="s">
        <v>9</v>
      </c>
      <c r="T27" s="22" t="s">
        <v>9</v>
      </c>
      <c r="U27" s="22" t="s">
        <v>9</v>
      </c>
      <c r="V27" s="22" t="s">
        <v>9</v>
      </c>
      <c r="W27" s="22" t="s">
        <v>9</v>
      </c>
      <c r="X27" s="22" t="s">
        <v>9</v>
      </c>
      <c r="Y27" s="22" t="s">
        <v>9</v>
      </c>
      <c r="Z27" s="22" t="s">
        <v>9</v>
      </c>
      <c r="AA27" s="39" t="s">
        <v>9</v>
      </c>
      <c r="AB27" s="39" t="s">
        <v>9</v>
      </c>
    </row>
    <row r="28" spans="1:28" ht="13.15" customHeight="1" x14ac:dyDescent="0.45">
      <c r="A28" s="111"/>
      <c r="B28" s="40" t="s">
        <v>26</v>
      </c>
      <c r="C28" s="37" t="s">
        <v>27</v>
      </c>
      <c r="D28" s="21"/>
      <c r="E28" s="22" t="s">
        <v>9</v>
      </c>
      <c r="F28" s="22" t="s">
        <v>9</v>
      </c>
      <c r="G28" s="22" t="s">
        <v>9</v>
      </c>
      <c r="H28" s="22" t="s">
        <v>9</v>
      </c>
      <c r="I28" s="22" t="s">
        <v>9</v>
      </c>
      <c r="J28" s="22" t="s">
        <v>9</v>
      </c>
      <c r="K28" s="22" t="s">
        <v>9</v>
      </c>
      <c r="L28" s="22" t="s">
        <v>9</v>
      </c>
      <c r="M28" s="22" t="s">
        <v>9</v>
      </c>
      <c r="N28" s="22" t="s">
        <v>9</v>
      </c>
      <c r="O28" s="22" t="s">
        <v>9</v>
      </c>
      <c r="P28" s="22" t="s">
        <v>9</v>
      </c>
      <c r="Q28" s="22" t="s">
        <v>9</v>
      </c>
      <c r="R28" s="22" t="s">
        <v>9</v>
      </c>
      <c r="S28" s="22" t="s">
        <v>9</v>
      </c>
      <c r="T28" s="22" t="s">
        <v>9</v>
      </c>
      <c r="U28" s="22" t="s">
        <v>9</v>
      </c>
      <c r="V28" s="22" t="s">
        <v>9</v>
      </c>
      <c r="W28" s="22" t="s">
        <v>9</v>
      </c>
      <c r="X28" s="22" t="s">
        <v>9</v>
      </c>
      <c r="Y28" s="22" t="s">
        <v>9</v>
      </c>
      <c r="Z28" s="22" t="s">
        <v>9</v>
      </c>
      <c r="AA28" s="39" t="s">
        <v>9</v>
      </c>
      <c r="AB28" s="39" t="s">
        <v>9</v>
      </c>
    </row>
    <row r="29" spans="1:28" ht="13.15" customHeight="1" x14ac:dyDescent="0.45">
      <c r="A29" s="112"/>
      <c r="B29" s="19" t="s">
        <v>28</v>
      </c>
      <c r="C29" s="20"/>
      <c r="D29" s="21"/>
      <c r="E29" s="22" t="s">
        <v>9</v>
      </c>
      <c r="F29" s="22" t="s">
        <v>9</v>
      </c>
      <c r="G29" s="22" t="s">
        <v>9</v>
      </c>
      <c r="H29" s="22" t="s">
        <v>9</v>
      </c>
      <c r="I29" s="22" t="s">
        <v>9</v>
      </c>
      <c r="J29" s="22" t="s">
        <v>9</v>
      </c>
      <c r="K29" s="22" t="s">
        <v>9</v>
      </c>
      <c r="L29" s="22" t="s">
        <v>9</v>
      </c>
      <c r="M29" s="22" t="s">
        <v>9</v>
      </c>
      <c r="N29" s="22" t="s">
        <v>9</v>
      </c>
      <c r="O29" s="22" t="s">
        <v>9</v>
      </c>
      <c r="P29" s="22">
        <v>0</v>
      </c>
      <c r="Q29" s="22">
        <v>0</v>
      </c>
      <c r="R29" s="22">
        <v>0</v>
      </c>
      <c r="S29" s="22">
        <v>0</v>
      </c>
      <c r="T29" s="42">
        <v>0</v>
      </c>
      <c r="U29" s="42">
        <v>0</v>
      </c>
      <c r="V29" s="42">
        <v>0</v>
      </c>
      <c r="W29" s="42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</row>
    <row r="30" spans="1:28" ht="6.6" hidden="1" customHeight="1" x14ac:dyDescent="0.45">
      <c r="X30" s="28"/>
      <c r="Y30" s="29"/>
      <c r="Z30" s="29"/>
    </row>
    <row r="31" spans="1:28" ht="13.15" customHeight="1" x14ac:dyDescent="0.45">
      <c r="A31" s="110" t="s">
        <v>30</v>
      </c>
      <c r="B31" s="49" t="s">
        <v>8</v>
      </c>
      <c r="C31" s="50"/>
      <c r="D31" s="51"/>
      <c r="E31" s="52">
        <f>E$6+E$18</f>
        <v>9924.4</v>
      </c>
      <c r="F31" s="52">
        <f>F$6+F$18</f>
        <v>9773.7000000000007</v>
      </c>
      <c r="G31" s="52">
        <f t="shared" ref="G31:L31" si="0">G$6+G$18</f>
        <v>9259.5</v>
      </c>
      <c r="H31" s="52">
        <f t="shared" si="0"/>
        <v>9455.9000000000015</v>
      </c>
      <c r="I31" s="52">
        <f t="shared" si="0"/>
        <v>9576.4</v>
      </c>
      <c r="J31" s="52">
        <f t="shared" si="0"/>
        <v>9653.9</v>
      </c>
      <c r="K31" s="52">
        <f t="shared" si="0"/>
        <v>9447.2999999999993</v>
      </c>
      <c r="L31" s="52">
        <f t="shared" si="0"/>
        <v>9471.6</v>
      </c>
      <c r="M31" s="52" t="s">
        <v>9</v>
      </c>
      <c r="N31" s="52" t="s">
        <v>9</v>
      </c>
      <c r="O31" s="52" t="s">
        <v>9</v>
      </c>
      <c r="P31" s="53">
        <f>P$6+P$18</f>
        <v>10028.049999999999</v>
      </c>
      <c r="Q31" s="53">
        <f t="shared" ref="Q31:W31" si="1">Q$6+Q$18</f>
        <v>10029.560000000001</v>
      </c>
      <c r="R31" s="53">
        <f t="shared" si="1"/>
        <v>10027.950000000001</v>
      </c>
      <c r="S31" s="53">
        <f t="shared" si="1"/>
        <v>10009.43</v>
      </c>
      <c r="T31" s="53">
        <f t="shared" si="1"/>
        <v>10012.689999999999</v>
      </c>
      <c r="U31" s="53">
        <f t="shared" si="1"/>
        <v>10135.614</v>
      </c>
      <c r="V31" s="53">
        <f t="shared" si="1"/>
        <v>10133.883</v>
      </c>
      <c r="W31" s="53">
        <f t="shared" si="1"/>
        <v>10122.782999999999</v>
      </c>
      <c r="X31" s="53">
        <f>X6+X18</f>
        <v>10115.213</v>
      </c>
      <c r="Y31" s="53">
        <f>Y6+Y18</f>
        <v>10122.08</v>
      </c>
      <c r="Z31" s="53">
        <f>Z6+Z18</f>
        <v>10087.306119540001</v>
      </c>
      <c r="AA31" s="53">
        <f>AA6+AA18</f>
        <v>8784.7799999999988</v>
      </c>
      <c r="AB31" s="53">
        <f>AB6+AB18</f>
        <v>8768.69</v>
      </c>
    </row>
    <row r="32" spans="1:28" ht="13.15" customHeight="1" x14ac:dyDescent="0.45">
      <c r="A32" s="111"/>
      <c r="B32" s="19" t="s">
        <v>10</v>
      </c>
      <c r="C32" s="20"/>
      <c r="D32" s="21"/>
      <c r="E32" s="22">
        <f>E7+E19</f>
        <v>795.3</v>
      </c>
      <c r="F32" s="22">
        <f t="shared" ref="F32:L33" si="2">F7+F19</f>
        <v>759.9</v>
      </c>
      <c r="G32" s="22">
        <f t="shared" si="2"/>
        <v>766.59999999999991</v>
      </c>
      <c r="H32" s="22">
        <f t="shared" si="2"/>
        <v>847.19999999999993</v>
      </c>
      <c r="I32" s="22">
        <f t="shared" si="2"/>
        <v>869.7</v>
      </c>
      <c r="J32" s="22">
        <f t="shared" si="2"/>
        <v>868.5</v>
      </c>
      <c r="K32" s="22">
        <f t="shared" si="2"/>
        <v>912.9</v>
      </c>
      <c r="L32" s="22">
        <f t="shared" si="2"/>
        <v>846.3</v>
      </c>
      <c r="M32" s="22" t="s">
        <v>9</v>
      </c>
      <c r="N32" s="22" t="s">
        <v>9</v>
      </c>
      <c r="O32" s="22" t="s">
        <v>9</v>
      </c>
      <c r="P32" s="22">
        <f t="shared" ref="P32:AB32" si="3">SUM(P7,P19)</f>
        <v>1418.3899999999999</v>
      </c>
      <c r="Q32" s="22">
        <f t="shared" si="3"/>
        <v>1418.3899999999999</v>
      </c>
      <c r="R32" s="22">
        <f t="shared" si="3"/>
        <v>1418.3899999999999</v>
      </c>
      <c r="S32" s="22">
        <f t="shared" si="3"/>
        <v>1418.3899999999999</v>
      </c>
      <c r="T32" s="22">
        <f t="shared" si="3"/>
        <v>1418.3899999999999</v>
      </c>
      <c r="U32" s="22">
        <f t="shared" si="3"/>
        <v>1687.0940000000001</v>
      </c>
      <c r="V32" s="22">
        <f t="shared" si="3"/>
        <v>1687.0940000000001</v>
      </c>
      <c r="W32" s="22">
        <f t="shared" si="3"/>
        <v>1687.0940000000001</v>
      </c>
      <c r="X32" s="23">
        <f t="shared" si="3"/>
        <v>1687.0940000000001</v>
      </c>
      <c r="Y32" s="23">
        <f t="shared" si="3"/>
        <v>1687.0940000000001</v>
      </c>
      <c r="Z32" s="23">
        <f t="shared" si="3"/>
        <v>1687.0940000000001</v>
      </c>
      <c r="AA32" s="23">
        <f t="shared" si="3"/>
        <v>1345.96</v>
      </c>
      <c r="AB32" s="23">
        <f t="shared" si="3"/>
        <v>1345.96</v>
      </c>
    </row>
    <row r="33" spans="1:28" ht="13.15" customHeight="1" x14ac:dyDescent="0.45">
      <c r="A33" s="111"/>
      <c r="B33" s="24" t="s">
        <v>11</v>
      </c>
      <c r="C33" s="20" t="s">
        <v>12</v>
      </c>
      <c r="D33" s="21"/>
      <c r="E33" s="22">
        <f>E8+E20</f>
        <v>9067.2000000000007</v>
      </c>
      <c r="F33" s="22">
        <f t="shared" si="2"/>
        <v>8940.9</v>
      </c>
      <c r="G33" s="22">
        <f t="shared" si="2"/>
        <v>8419.7999999999993</v>
      </c>
      <c r="H33" s="22">
        <f t="shared" si="2"/>
        <v>8532.1</v>
      </c>
      <c r="I33" s="22">
        <f t="shared" si="2"/>
        <v>8620.5999999999985</v>
      </c>
      <c r="J33" s="22">
        <f t="shared" si="2"/>
        <v>8699.5</v>
      </c>
      <c r="K33" s="22">
        <f t="shared" si="2"/>
        <v>8455.2999999999993</v>
      </c>
      <c r="L33" s="22">
        <f t="shared" si="2"/>
        <v>8458</v>
      </c>
      <c r="M33" s="22" t="s">
        <v>9</v>
      </c>
      <c r="N33" s="22" t="s">
        <v>9</v>
      </c>
      <c r="O33" s="22" t="s">
        <v>9</v>
      </c>
      <c r="P33" s="22">
        <f t="shared" ref="P33:W33" si="4">SUM(P8,P20)</f>
        <v>8282.5400000000009</v>
      </c>
      <c r="Q33" s="22">
        <f t="shared" si="4"/>
        <v>8282.5400000000009</v>
      </c>
      <c r="R33" s="22">
        <f t="shared" si="4"/>
        <v>8282.5400000000009</v>
      </c>
      <c r="S33" s="22">
        <f t="shared" si="4"/>
        <v>8282.5400000000009</v>
      </c>
      <c r="T33" s="22">
        <f t="shared" si="4"/>
        <v>8282.5400000000009</v>
      </c>
      <c r="U33" s="22">
        <f t="shared" si="4"/>
        <v>8107.0929999999998</v>
      </c>
      <c r="V33" s="22">
        <f t="shared" si="4"/>
        <v>8107.0929999999998</v>
      </c>
      <c r="W33" s="22">
        <f t="shared" si="4"/>
        <v>8107.0929999999998</v>
      </c>
      <c r="X33" s="23">
        <f>SUM(X8,X20)</f>
        <v>8107.0929999999998</v>
      </c>
      <c r="Y33" s="23">
        <f>SUM(Y8,Y20)</f>
        <v>8107.0929999999998</v>
      </c>
      <c r="Z33" s="23">
        <f>SUM(Z8,Z20)</f>
        <v>8107.0929999999998</v>
      </c>
      <c r="AA33" s="23">
        <f>SUM(AA8,AA20)</f>
        <v>7140.84</v>
      </c>
      <c r="AB33" s="23">
        <f>SUM(AB8,AB20)</f>
        <v>7140.84</v>
      </c>
    </row>
    <row r="34" spans="1:28" ht="13.15" customHeight="1" x14ac:dyDescent="0.45">
      <c r="A34" s="111"/>
      <c r="B34" s="26" t="s">
        <v>13</v>
      </c>
      <c r="C34" s="20"/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8"/>
      <c r="Y34" s="29"/>
      <c r="Z34" s="29"/>
      <c r="AA34" s="29"/>
      <c r="AB34" s="29"/>
    </row>
    <row r="35" spans="1:28" ht="13.15" customHeight="1" x14ac:dyDescent="0.45">
      <c r="A35" s="111"/>
      <c r="B35" s="30" t="s">
        <v>14</v>
      </c>
      <c r="C35" s="20"/>
      <c r="D35" s="21"/>
      <c r="E35" s="27">
        <f>E10+E22</f>
        <v>9067.2000000000007</v>
      </c>
      <c r="F35" s="27">
        <f t="shared" ref="F35:L35" si="5">F10+F22</f>
        <v>8940.9</v>
      </c>
      <c r="G35" s="27">
        <f t="shared" si="5"/>
        <v>8419.7999999999993</v>
      </c>
      <c r="H35" s="27">
        <f t="shared" si="5"/>
        <v>8532.1</v>
      </c>
      <c r="I35" s="27">
        <f t="shared" si="5"/>
        <v>8620.5999999999985</v>
      </c>
      <c r="J35" s="27">
        <f t="shared" si="5"/>
        <v>8699.5</v>
      </c>
      <c r="K35" s="27">
        <f t="shared" si="5"/>
        <v>8455.2999999999993</v>
      </c>
      <c r="L35" s="27">
        <f t="shared" si="5"/>
        <v>8458</v>
      </c>
      <c r="M35" s="27" t="s">
        <v>9</v>
      </c>
      <c r="N35" s="27" t="s">
        <v>9</v>
      </c>
      <c r="O35" s="27" t="s">
        <v>9</v>
      </c>
      <c r="P35" s="22">
        <f t="shared" ref="P35:W35" si="6">SUM(P10,P22)</f>
        <v>8232.16</v>
      </c>
      <c r="Q35" s="22">
        <f t="shared" si="6"/>
        <v>8232.16</v>
      </c>
      <c r="R35" s="22">
        <f t="shared" si="6"/>
        <v>8232.16</v>
      </c>
      <c r="S35" s="22">
        <f t="shared" si="6"/>
        <v>8232.16</v>
      </c>
      <c r="T35" s="22">
        <f t="shared" si="6"/>
        <v>8232.16</v>
      </c>
      <c r="U35" s="22">
        <f t="shared" si="6"/>
        <v>8026.6350000000002</v>
      </c>
      <c r="V35" s="22">
        <f t="shared" si="6"/>
        <v>8026.6350000000002</v>
      </c>
      <c r="W35" s="22">
        <f t="shared" si="6"/>
        <v>8026.6350000000002</v>
      </c>
      <c r="X35" s="23">
        <f>SUM(X10,X22)</f>
        <v>8026.6350000000002</v>
      </c>
      <c r="Y35" s="23">
        <f>SUM(Y10,Y22)</f>
        <v>8026.6350000000002</v>
      </c>
      <c r="Z35" s="23">
        <f>SUM(Z10,Z22)</f>
        <v>8026.6350000000002</v>
      </c>
      <c r="AA35" s="23">
        <f>SUM(AA10,AA22)</f>
        <v>7079.09</v>
      </c>
      <c r="AB35" s="23">
        <f>SUM(AB10,AB22)</f>
        <v>7079.09</v>
      </c>
    </row>
    <row r="36" spans="1:28" ht="13.15" customHeight="1" x14ac:dyDescent="0.45">
      <c r="A36" s="111"/>
      <c r="B36" s="30" t="s">
        <v>15</v>
      </c>
      <c r="C36" s="32"/>
      <c r="D36" s="21"/>
      <c r="E36" s="27" t="s">
        <v>9</v>
      </c>
      <c r="F36" s="27" t="s">
        <v>9</v>
      </c>
      <c r="G36" s="27" t="s">
        <v>9</v>
      </c>
      <c r="H36" s="27" t="s">
        <v>9</v>
      </c>
      <c r="I36" s="27" t="s">
        <v>9</v>
      </c>
      <c r="J36" s="27" t="s">
        <v>9</v>
      </c>
      <c r="K36" s="27" t="s">
        <v>9</v>
      </c>
      <c r="L36" s="27" t="s">
        <v>9</v>
      </c>
      <c r="M36" s="27" t="s">
        <v>9</v>
      </c>
      <c r="N36" s="27"/>
      <c r="O36" s="27"/>
      <c r="P36" s="22"/>
      <c r="Q36" s="22"/>
      <c r="R36" s="22"/>
      <c r="S36" s="22"/>
      <c r="T36" s="22"/>
      <c r="U36" s="22"/>
      <c r="V36" s="22"/>
      <c r="W36" s="22"/>
      <c r="X36" s="28"/>
      <c r="Y36" s="29"/>
      <c r="Z36" s="29"/>
      <c r="AA36" s="34" t="s">
        <v>9</v>
      </c>
      <c r="AB36" s="34" t="s">
        <v>9</v>
      </c>
    </row>
    <row r="37" spans="1:28" ht="13.15" customHeight="1" x14ac:dyDescent="0.45">
      <c r="A37" s="111"/>
      <c r="B37" s="19" t="s">
        <v>16</v>
      </c>
      <c r="C37" s="32" t="s">
        <v>17</v>
      </c>
      <c r="D37" s="21"/>
      <c r="E37" s="22">
        <f>E12+E24</f>
        <v>62</v>
      </c>
      <c r="F37" s="22">
        <f t="shared" ref="F37:L37" si="7">F12+F24</f>
        <v>73</v>
      </c>
      <c r="G37" s="22">
        <f t="shared" si="7"/>
        <v>73</v>
      </c>
      <c r="H37" s="22">
        <f t="shared" si="7"/>
        <v>76.5</v>
      </c>
      <c r="I37" s="22">
        <f t="shared" si="7"/>
        <v>86</v>
      </c>
      <c r="J37" s="22">
        <f t="shared" si="7"/>
        <v>86</v>
      </c>
      <c r="K37" s="22">
        <f t="shared" si="7"/>
        <v>79</v>
      </c>
      <c r="L37" s="22">
        <f t="shared" si="7"/>
        <v>67</v>
      </c>
      <c r="M37" s="22" t="s">
        <v>9</v>
      </c>
      <c r="N37" s="22" t="s">
        <v>9</v>
      </c>
      <c r="O37" s="22" t="s">
        <v>18</v>
      </c>
      <c r="P37" s="22" t="s">
        <v>18</v>
      </c>
      <c r="Q37" s="22" t="s">
        <v>18</v>
      </c>
      <c r="R37" s="22" t="s">
        <v>18</v>
      </c>
      <c r="S37" s="22" t="s">
        <v>18</v>
      </c>
      <c r="T37" s="22" t="s">
        <v>18</v>
      </c>
      <c r="U37" s="22" t="s">
        <v>18</v>
      </c>
      <c r="V37" s="22" t="s">
        <v>18</v>
      </c>
      <c r="W37" s="22" t="s">
        <v>18</v>
      </c>
      <c r="X37" s="23" t="s">
        <v>19</v>
      </c>
      <c r="Y37" s="23" t="s">
        <v>19</v>
      </c>
      <c r="Z37" s="23" t="s">
        <v>19</v>
      </c>
      <c r="AA37" s="23" t="s">
        <v>19</v>
      </c>
      <c r="AB37" s="23" t="s">
        <v>19</v>
      </c>
    </row>
    <row r="38" spans="1:28" ht="13.15" customHeight="1" x14ac:dyDescent="0.45">
      <c r="A38" s="111"/>
      <c r="B38" s="3" t="s">
        <v>20</v>
      </c>
      <c r="C38" s="20" t="s">
        <v>21</v>
      </c>
      <c r="D38" s="21"/>
      <c r="E38" s="22" t="s">
        <v>9</v>
      </c>
      <c r="F38" s="22" t="s">
        <v>9</v>
      </c>
      <c r="G38" s="22" t="s">
        <v>9</v>
      </c>
      <c r="H38" s="22" t="s">
        <v>9</v>
      </c>
      <c r="I38" s="22" t="s">
        <v>9</v>
      </c>
      <c r="J38" s="22" t="s">
        <v>9</v>
      </c>
      <c r="K38" s="22" t="s">
        <v>9</v>
      </c>
      <c r="L38" s="22" t="s">
        <v>9</v>
      </c>
      <c r="M38" s="22" t="s">
        <v>9</v>
      </c>
      <c r="N38" s="22" t="s">
        <v>9</v>
      </c>
      <c r="O38" s="22" t="s">
        <v>9</v>
      </c>
      <c r="P38" s="22">
        <f t="shared" ref="P38:AB38" si="8">SUM(P13,P25)</f>
        <v>125.99000000000001</v>
      </c>
      <c r="Q38" s="22">
        <f t="shared" si="8"/>
        <v>125.99000000000001</v>
      </c>
      <c r="R38" s="22">
        <f t="shared" si="8"/>
        <v>125.99000000000001</v>
      </c>
      <c r="S38" s="22">
        <f t="shared" si="8"/>
        <v>125.99000000000001</v>
      </c>
      <c r="T38" s="22">
        <f t="shared" si="8"/>
        <v>125.99000000000001</v>
      </c>
      <c r="U38" s="22">
        <f t="shared" si="8"/>
        <v>180.42599999999999</v>
      </c>
      <c r="V38" s="22">
        <f t="shared" si="8"/>
        <v>180.42599999999999</v>
      </c>
      <c r="W38" s="22">
        <f t="shared" si="8"/>
        <v>180.42599999999999</v>
      </c>
      <c r="X38" s="23">
        <f t="shared" si="8"/>
        <v>180.42599999999999</v>
      </c>
      <c r="Y38" s="23">
        <f t="shared" si="8"/>
        <v>180.42599999999999</v>
      </c>
      <c r="Z38" s="23">
        <f t="shared" si="8"/>
        <v>180.42599999999999</v>
      </c>
      <c r="AA38" s="23">
        <f t="shared" si="8"/>
        <v>198.43</v>
      </c>
      <c r="AB38" s="23">
        <f t="shared" si="8"/>
        <v>198.43</v>
      </c>
    </row>
    <row r="39" spans="1:28" ht="27" customHeight="1" x14ac:dyDescent="0.45">
      <c r="A39" s="111"/>
      <c r="B39" s="3" t="s">
        <v>22</v>
      </c>
      <c r="C39" s="37" t="s">
        <v>23</v>
      </c>
      <c r="D39" s="21"/>
      <c r="E39" s="22" t="s">
        <v>9</v>
      </c>
      <c r="F39" s="22" t="s">
        <v>9</v>
      </c>
      <c r="G39" s="22" t="s">
        <v>9</v>
      </c>
      <c r="H39" s="22" t="s">
        <v>9</v>
      </c>
      <c r="I39" s="22" t="s">
        <v>9</v>
      </c>
      <c r="J39" s="22" t="s">
        <v>9</v>
      </c>
      <c r="K39" s="22" t="s">
        <v>9</v>
      </c>
      <c r="L39" s="22">
        <f>L14+L26</f>
        <v>100.4</v>
      </c>
      <c r="M39" s="22" t="s">
        <v>9</v>
      </c>
      <c r="N39" s="22" t="s">
        <v>9</v>
      </c>
      <c r="O39" s="22" t="s">
        <v>18</v>
      </c>
      <c r="P39" s="22" t="s">
        <v>18</v>
      </c>
      <c r="Q39" s="22" t="s">
        <v>18</v>
      </c>
      <c r="R39" s="22" t="s">
        <v>18</v>
      </c>
      <c r="S39" s="22" t="s">
        <v>18</v>
      </c>
      <c r="T39" s="22" t="s">
        <v>18</v>
      </c>
      <c r="U39" s="22" t="s">
        <v>18</v>
      </c>
      <c r="V39" s="22" t="s">
        <v>18</v>
      </c>
      <c r="W39" s="22" t="s">
        <v>18</v>
      </c>
      <c r="X39" s="23" t="s">
        <v>19</v>
      </c>
      <c r="Y39" s="23" t="s">
        <v>19</v>
      </c>
      <c r="Z39" s="23" t="s">
        <v>19</v>
      </c>
      <c r="AA39" s="23" t="s">
        <v>19</v>
      </c>
      <c r="AB39" s="23" t="s">
        <v>19</v>
      </c>
    </row>
    <row r="40" spans="1:28" ht="13.15" customHeight="1" x14ac:dyDescent="0.45">
      <c r="A40" s="111"/>
      <c r="B40" s="3" t="s">
        <v>24</v>
      </c>
      <c r="C40" s="37" t="s">
        <v>25</v>
      </c>
      <c r="D40" s="21"/>
      <c r="E40" s="22" t="s">
        <v>9</v>
      </c>
      <c r="F40" s="22" t="s">
        <v>9</v>
      </c>
      <c r="G40" s="22" t="s">
        <v>9</v>
      </c>
      <c r="H40" s="22" t="s">
        <v>9</v>
      </c>
      <c r="I40" s="22" t="s">
        <v>9</v>
      </c>
      <c r="J40" s="22" t="s">
        <v>9</v>
      </c>
      <c r="K40" s="22" t="s">
        <v>9</v>
      </c>
      <c r="L40" s="22" t="s">
        <v>9</v>
      </c>
      <c r="M40" s="22" t="s">
        <v>9</v>
      </c>
      <c r="N40" s="22" t="s">
        <v>9</v>
      </c>
      <c r="O40" s="22" t="s">
        <v>9</v>
      </c>
      <c r="P40" s="22" t="s">
        <v>9</v>
      </c>
      <c r="Q40" s="22" t="s">
        <v>9</v>
      </c>
      <c r="R40" s="22" t="s">
        <v>9</v>
      </c>
      <c r="S40" s="22" t="s">
        <v>9</v>
      </c>
      <c r="T40" s="22" t="s">
        <v>9</v>
      </c>
      <c r="U40" s="22" t="s">
        <v>9</v>
      </c>
      <c r="V40" s="22" t="s">
        <v>9</v>
      </c>
      <c r="W40" s="22" t="s">
        <v>9</v>
      </c>
      <c r="X40" s="22" t="s">
        <v>9</v>
      </c>
      <c r="Y40" s="22" t="s">
        <v>9</v>
      </c>
      <c r="Z40" s="22" t="s">
        <v>9</v>
      </c>
      <c r="AA40" s="23" t="s">
        <v>9</v>
      </c>
      <c r="AB40" s="23" t="s">
        <v>9</v>
      </c>
    </row>
    <row r="41" spans="1:28" ht="13.15" customHeight="1" x14ac:dyDescent="0.45">
      <c r="A41" s="111"/>
      <c r="B41" s="40" t="s">
        <v>26</v>
      </c>
      <c r="C41" s="37" t="s">
        <v>27</v>
      </c>
      <c r="D41" s="21"/>
      <c r="E41" s="22" t="s">
        <v>9</v>
      </c>
      <c r="F41" s="22" t="s">
        <v>9</v>
      </c>
      <c r="G41" s="22" t="s">
        <v>9</v>
      </c>
      <c r="H41" s="22" t="s">
        <v>9</v>
      </c>
      <c r="I41" s="22" t="s">
        <v>9</v>
      </c>
      <c r="J41" s="22" t="s">
        <v>9</v>
      </c>
      <c r="K41" s="22" t="s">
        <v>9</v>
      </c>
      <c r="L41" s="22" t="s">
        <v>9</v>
      </c>
      <c r="M41" s="22" t="s">
        <v>9</v>
      </c>
      <c r="N41" s="22" t="s">
        <v>9</v>
      </c>
      <c r="O41" s="22" t="s">
        <v>9</v>
      </c>
      <c r="P41" s="22" t="s">
        <v>9</v>
      </c>
      <c r="Q41" s="22" t="s">
        <v>9</v>
      </c>
      <c r="R41" s="22" t="s">
        <v>9</v>
      </c>
      <c r="S41" s="22" t="s">
        <v>9</v>
      </c>
      <c r="T41" s="22" t="s">
        <v>9</v>
      </c>
      <c r="U41" s="22" t="s">
        <v>9</v>
      </c>
      <c r="V41" s="22" t="s">
        <v>9</v>
      </c>
      <c r="W41" s="22" t="s">
        <v>9</v>
      </c>
      <c r="X41" s="22" t="s">
        <v>9</v>
      </c>
      <c r="Y41" s="22" t="s">
        <v>9</v>
      </c>
      <c r="Z41" s="22" t="s">
        <v>9</v>
      </c>
      <c r="AA41" s="23" t="s">
        <v>9</v>
      </c>
      <c r="AB41" s="23" t="s">
        <v>9</v>
      </c>
    </row>
    <row r="42" spans="1:28" ht="13.15" customHeight="1" x14ac:dyDescent="0.45">
      <c r="A42" s="112"/>
      <c r="B42" s="19" t="s">
        <v>28</v>
      </c>
      <c r="C42" s="20"/>
      <c r="D42" s="21"/>
      <c r="E42" s="22" t="s">
        <v>9</v>
      </c>
      <c r="F42" s="22" t="s">
        <v>9</v>
      </c>
      <c r="G42" s="22" t="s">
        <v>9</v>
      </c>
      <c r="H42" s="22" t="s">
        <v>9</v>
      </c>
      <c r="I42" s="22" t="s">
        <v>9</v>
      </c>
      <c r="J42" s="22" t="s">
        <v>9</v>
      </c>
      <c r="K42" s="22" t="s">
        <v>9</v>
      </c>
      <c r="L42" s="22" t="s">
        <v>9</v>
      </c>
      <c r="M42" s="22" t="s">
        <v>9</v>
      </c>
      <c r="N42" s="22" t="s">
        <v>9</v>
      </c>
      <c r="O42" s="22" t="s">
        <v>9</v>
      </c>
      <c r="P42" s="22">
        <v>0</v>
      </c>
      <c r="Q42" s="22">
        <v>0</v>
      </c>
      <c r="R42" s="22">
        <v>0</v>
      </c>
      <c r="S42" s="22">
        <v>0</v>
      </c>
      <c r="T42" s="42">
        <v>0</v>
      </c>
      <c r="U42" s="42">
        <v>0</v>
      </c>
      <c r="V42" s="42">
        <v>0</v>
      </c>
      <c r="W42" s="42">
        <v>0</v>
      </c>
      <c r="X42" s="43">
        <f>X$17+X$29</f>
        <v>0</v>
      </c>
      <c r="Y42" s="43">
        <f>Y$17+Y$29</f>
        <v>0</v>
      </c>
      <c r="Z42" s="43">
        <f>Z$17+Z$29</f>
        <v>0</v>
      </c>
      <c r="AA42" s="43">
        <f>AA$17+AA$29</f>
        <v>0</v>
      </c>
      <c r="AB42" s="43">
        <v>0</v>
      </c>
    </row>
    <row r="43" spans="1:28" ht="13.15" customHeight="1" x14ac:dyDescent="0.45">
      <c r="B43" s="54"/>
      <c r="C43" s="54"/>
      <c r="D43" s="54"/>
      <c r="M43" s="55"/>
      <c r="N43" s="55"/>
      <c r="O43" s="55"/>
      <c r="P43" s="55"/>
      <c r="Q43" s="55"/>
      <c r="R43" s="55"/>
      <c r="S43" s="55"/>
    </row>
    <row r="44" spans="1:28" ht="0.6" hidden="1" customHeight="1" x14ac:dyDescent="0.4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 spans="1:28" ht="13.15" customHeight="1" x14ac:dyDescent="0.45">
      <c r="A45" s="114" t="s">
        <v>31</v>
      </c>
      <c r="B45" s="114"/>
      <c r="C45" s="114"/>
      <c r="D45" s="55"/>
      <c r="E45" s="55"/>
      <c r="F45" s="55"/>
      <c r="G45" s="55"/>
      <c r="H45" s="55"/>
      <c r="M45" s="55"/>
      <c r="N45" s="55"/>
      <c r="O45" s="55"/>
      <c r="P45" s="55"/>
      <c r="Q45" s="55"/>
      <c r="R45" s="55"/>
      <c r="S45" s="55"/>
    </row>
    <row r="46" spans="1:28" s="57" customFormat="1" ht="21.6" customHeight="1" x14ac:dyDescent="0.35">
      <c r="A46" s="115" t="s">
        <v>32</v>
      </c>
      <c r="B46" s="115"/>
      <c r="C46" s="115"/>
      <c r="D46" s="56"/>
      <c r="E46" s="56"/>
      <c r="F46" s="56"/>
      <c r="G46" s="56"/>
      <c r="H46" s="56"/>
      <c r="M46" s="58"/>
      <c r="N46" s="59"/>
      <c r="O46" s="59"/>
      <c r="P46" s="60"/>
      <c r="Q46" s="60"/>
      <c r="R46" s="60"/>
      <c r="S46" s="60"/>
      <c r="T46" s="60"/>
      <c r="U46" s="60"/>
      <c r="V46" s="60"/>
      <c r="W46" s="60"/>
    </row>
    <row r="47" spans="1:28" s="62" customFormat="1" ht="17.45" customHeight="1" x14ac:dyDescent="0.35">
      <c r="A47" s="116" t="s">
        <v>33</v>
      </c>
      <c r="B47" s="116"/>
      <c r="C47" s="116"/>
      <c r="D47" s="61"/>
      <c r="E47" s="61"/>
      <c r="F47" s="61"/>
      <c r="G47" s="61"/>
      <c r="H47" s="61"/>
      <c r="M47" s="55"/>
      <c r="N47" s="55"/>
      <c r="O47" s="55"/>
      <c r="P47" s="55"/>
      <c r="Q47" s="55"/>
      <c r="R47" s="55"/>
      <c r="S47" s="55"/>
    </row>
    <row r="48" spans="1:28" s="62" customFormat="1" ht="13.15" customHeight="1" x14ac:dyDescent="0.35">
      <c r="A48" s="117" t="s">
        <v>34</v>
      </c>
      <c r="B48" s="117"/>
      <c r="C48" s="117"/>
      <c r="D48" s="63"/>
      <c r="E48" s="63"/>
      <c r="F48" s="63"/>
      <c r="G48" s="63"/>
      <c r="H48" s="63"/>
      <c r="M48" s="57"/>
      <c r="N48" s="57"/>
      <c r="O48" s="57"/>
      <c r="P48" s="57"/>
      <c r="Q48" s="55"/>
      <c r="R48" s="55"/>
      <c r="S48" s="55"/>
    </row>
    <row r="49" spans="1:25" ht="13.15" customHeight="1" x14ac:dyDescent="0.45">
      <c r="A49" s="104" t="s">
        <v>35</v>
      </c>
      <c r="B49" s="104"/>
      <c r="C49" s="104"/>
      <c r="D49" s="61"/>
      <c r="E49" s="61"/>
      <c r="F49" s="61"/>
      <c r="G49" s="61"/>
      <c r="H49" s="61"/>
      <c r="M49" s="61"/>
      <c r="N49" s="64"/>
      <c r="O49" s="64"/>
      <c r="P49" s="65"/>
      <c r="Q49" s="65"/>
      <c r="R49" s="65"/>
      <c r="S49" s="65"/>
      <c r="T49" s="65"/>
      <c r="U49" s="66"/>
      <c r="V49" s="66"/>
      <c r="W49" s="66"/>
    </row>
    <row r="50" spans="1:25" x14ac:dyDescent="0.45">
      <c r="A50" s="104" t="s">
        <v>36</v>
      </c>
      <c r="B50" s="104"/>
      <c r="C50" s="104"/>
      <c r="T50" s="1"/>
      <c r="U50" s="1"/>
      <c r="V50" s="1"/>
      <c r="W50" s="1"/>
      <c r="X50" s="1"/>
      <c r="Y50" s="1"/>
    </row>
    <row r="51" spans="1:25" x14ac:dyDescent="0.45">
      <c r="T51" s="1"/>
      <c r="U51" s="1"/>
      <c r="V51" s="1"/>
      <c r="W51" s="1"/>
      <c r="X51" s="1"/>
    </row>
    <row r="52" spans="1:25" x14ac:dyDescent="0.45">
      <c r="T52" s="1"/>
      <c r="U52" s="1"/>
      <c r="V52" s="1"/>
      <c r="W52" s="1"/>
      <c r="X52" s="1"/>
    </row>
    <row r="53" spans="1:25" x14ac:dyDescent="0.45">
      <c r="T53" s="1"/>
      <c r="U53" s="1"/>
      <c r="V53" s="1"/>
      <c r="W53" s="1"/>
      <c r="X53" s="1"/>
    </row>
    <row r="54" spans="1:25" x14ac:dyDescent="0.45">
      <c r="T54" s="1"/>
      <c r="U54" s="1"/>
      <c r="V54" s="1"/>
      <c r="W54" s="1"/>
      <c r="X54" s="1"/>
    </row>
    <row r="55" spans="1:25" x14ac:dyDescent="0.45">
      <c r="T55" s="1"/>
      <c r="U55" s="1"/>
      <c r="V55" s="1"/>
      <c r="W55" s="1"/>
      <c r="X55" s="1"/>
    </row>
    <row r="56" spans="1:25" x14ac:dyDescent="0.45">
      <c r="T56" s="1"/>
      <c r="U56" s="1"/>
      <c r="V56" s="1"/>
      <c r="W56" s="1"/>
      <c r="X56" s="1"/>
    </row>
    <row r="57" spans="1:25" x14ac:dyDescent="0.45">
      <c r="T57" s="1"/>
      <c r="U57" s="1"/>
      <c r="V57" s="1"/>
      <c r="W57" s="1"/>
      <c r="X57" s="1"/>
    </row>
    <row r="58" spans="1:25" x14ac:dyDescent="0.45">
      <c r="T58" s="1"/>
      <c r="U58" s="1"/>
      <c r="V58" s="1"/>
      <c r="W58" s="1"/>
      <c r="X58" s="1"/>
    </row>
    <row r="59" spans="1:25" x14ac:dyDescent="0.45">
      <c r="T59" s="1"/>
      <c r="U59" s="1"/>
      <c r="V59" s="1"/>
      <c r="W59" s="1"/>
      <c r="X59" s="1"/>
    </row>
    <row r="60" spans="1:25" x14ac:dyDescent="0.45">
      <c r="T60" s="1"/>
      <c r="U60" s="1"/>
      <c r="V60" s="1"/>
      <c r="W60" s="1"/>
      <c r="X60" s="1"/>
    </row>
    <row r="61" spans="1:25" x14ac:dyDescent="0.45">
      <c r="T61" s="1"/>
      <c r="U61" s="1"/>
      <c r="V61" s="1"/>
      <c r="W61" s="1"/>
      <c r="X61" s="1"/>
    </row>
    <row r="62" spans="1:25" x14ac:dyDescent="0.45">
      <c r="T62" s="1"/>
      <c r="U62" s="1"/>
      <c r="V62" s="1"/>
      <c r="W62" s="1"/>
      <c r="X62" s="1"/>
    </row>
    <row r="63" spans="1:25" x14ac:dyDescent="0.45">
      <c r="T63" s="1"/>
      <c r="U63" s="1"/>
      <c r="V63" s="1"/>
      <c r="W63" s="1"/>
      <c r="X63" s="1"/>
    </row>
    <row r="64" spans="1:25" x14ac:dyDescent="0.45">
      <c r="T64" s="1"/>
      <c r="U64" s="1"/>
      <c r="V64" s="1"/>
      <c r="W64" s="1"/>
      <c r="X64" s="1"/>
    </row>
    <row r="65" spans="20:24" x14ac:dyDescent="0.45">
      <c r="T65" s="1"/>
      <c r="U65" s="1"/>
      <c r="V65" s="1"/>
      <c r="W65" s="1"/>
      <c r="X65" s="1"/>
    </row>
    <row r="66" spans="20:24" x14ac:dyDescent="0.45">
      <c r="T66" s="1"/>
      <c r="U66" s="1"/>
      <c r="V66" s="1"/>
      <c r="W66" s="1"/>
      <c r="X66" s="1"/>
    </row>
    <row r="67" spans="20:24" x14ac:dyDescent="0.45">
      <c r="T67" s="1"/>
      <c r="U67" s="1"/>
      <c r="V67" s="1"/>
      <c r="W67" s="1"/>
      <c r="X67" s="1"/>
    </row>
    <row r="68" spans="20:24" x14ac:dyDescent="0.45">
      <c r="T68" s="1"/>
      <c r="U68" s="1"/>
      <c r="V68" s="1"/>
      <c r="W68" s="1"/>
      <c r="X68" s="1"/>
    </row>
    <row r="69" spans="20:24" x14ac:dyDescent="0.45">
      <c r="T69" s="1"/>
      <c r="U69" s="1"/>
      <c r="V69" s="1"/>
      <c r="W69" s="1"/>
      <c r="X69" s="1"/>
    </row>
    <row r="70" spans="20:24" x14ac:dyDescent="0.45">
      <c r="T70" s="1"/>
      <c r="U70" s="1"/>
      <c r="V70" s="1"/>
      <c r="W70" s="1"/>
      <c r="X70" s="1"/>
    </row>
  </sheetData>
  <mergeCells count="12">
    <mergeCell ref="A50:C50"/>
    <mergeCell ref="A1:AA3"/>
    <mergeCell ref="A4:C4"/>
    <mergeCell ref="D4:D5"/>
    <mergeCell ref="A6:A17"/>
    <mergeCell ref="A18:A29"/>
    <mergeCell ref="A31:A42"/>
    <mergeCell ref="A45:C45"/>
    <mergeCell ref="A46:C46"/>
    <mergeCell ref="A47:C47"/>
    <mergeCell ref="A48:C48"/>
    <mergeCell ref="A49:C49"/>
  </mergeCells>
  <dataValidations count="1">
    <dataValidation type="decimal" operator="greaterThanOrEqual" allowBlank="1" showErrorMessage="1" errorTitle="Error!" error="The value you entered is not valid._x000a__x000a_Only 0 and positive values are allowed." sqref="X6 X18 Z6:Z10 Z22:AB22 Z18:Z20 AA19:AB20 AA10:AB10 Z13:AB13 AA7:AB8" xr:uid="{92A3E6E5-BED7-40FE-AF29-FF37622AA0F0}">
      <formula1>0</formula1>
    </dataValidation>
  </dataValidations>
  <hyperlinks>
    <hyperlink ref="A47" r:id="rId1" display="http://www.statistics.gr/el/statistics/-/publication/SOP07/-" xr:uid="{B8F4A419-DDFE-451C-8AF0-CBE424FB3751}"/>
    <hyperlink ref="A47:C47" r:id="rId2" display="http://www.statistics.gr/en/statistics/-/publication/SOP07/-" xr:uid="{2182EC0B-9157-4A78-8D12-B20DF354747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C4BC-428B-44A8-AFB8-082169181D9E}">
  <dimension ref="A1:AF41"/>
  <sheetViews>
    <sheetView topLeftCell="A4" workbookViewId="0">
      <selection activeCell="A15" sqref="A15:A22"/>
    </sheetView>
  </sheetViews>
  <sheetFormatPr defaultRowHeight="14.25" x14ac:dyDescent="0.45"/>
  <cols>
    <col min="1" max="1" width="16.265625" customWidth="1"/>
    <col min="2" max="2" width="29.1328125" customWidth="1"/>
    <col min="3" max="3" width="12.3984375" customWidth="1"/>
    <col min="4" max="19" width="8.73046875" customWidth="1"/>
    <col min="21" max="22" width="9.1328125" customWidth="1"/>
    <col min="24" max="24" width="10.265625" customWidth="1"/>
    <col min="25" max="25" width="10.3984375" customWidth="1"/>
    <col min="29" max="29" width="9.265625" bestFit="1" customWidth="1"/>
  </cols>
  <sheetData>
    <row r="1" spans="1:32" ht="13.15" customHeight="1" x14ac:dyDescent="0.45">
      <c r="A1" s="118" t="s">
        <v>37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32" ht="16.149999999999999" customHeight="1" x14ac:dyDescent="0.4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32" ht="14.45" customHeight="1" x14ac:dyDescent="0.4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32" ht="16.149999999999999" customHeight="1" x14ac:dyDescent="0.45">
      <c r="A4" s="106" t="s">
        <v>38</v>
      </c>
      <c r="B4" s="107"/>
      <c r="C4" s="107"/>
      <c r="D4" s="67"/>
      <c r="X4" s="2"/>
    </row>
    <row r="5" spans="1:32" ht="15.6" customHeight="1" x14ac:dyDescent="0.45">
      <c r="A5" s="68" t="s">
        <v>39</v>
      </c>
      <c r="B5" s="68" t="s">
        <v>4</v>
      </c>
      <c r="C5" s="4" t="s">
        <v>5</v>
      </c>
      <c r="D5" s="7">
        <v>2000</v>
      </c>
      <c r="E5" s="7">
        <v>2001</v>
      </c>
      <c r="F5" s="7">
        <v>2002</v>
      </c>
      <c r="G5" s="7">
        <v>2003</v>
      </c>
      <c r="H5" s="7">
        <v>2004</v>
      </c>
      <c r="I5" s="7">
        <v>2005</v>
      </c>
      <c r="J5" s="7">
        <v>2006</v>
      </c>
      <c r="K5" s="69">
        <v>2007</v>
      </c>
      <c r="L5" s="7">
        <v>2008</v>
      </c>
      <c r="M5" s="7">
        <v>2009</v>
      </c>
      <c r="N5" s="7">
        <v>2010</v>
      </c>
      <c r="O5" s="7">
        <v>2011</v>
      </c>
      <c r="P5" s="7">
        <v>2012</v>
      </c>
      <c r="Q5" s="7">
        <v>2013</v>
      </c>
      <c r="R5" s="7">
        <v>2014</v>
      </c>
      <c r="S5" s="7">
        <v>2015</v>
      </c>
      <c r="T5" s="7">
        <v>2016</v>
      </c>
      <c r="U5" s="7">
        <v>2017</v>
      </c>
      <c r="V5" s="7">
        <v>2018</v>
      </c>
      <c r="W5" s="7">
        <v>2019</v>
      </c>
      <c r="X5" s="7">
        <v>2020</v>
      </c>
      <c r="Y5" s="7">
        <v>2021</v>
      </c>
      <c r="Z5" s="7">
        <v>2022</v>
      </c>
      <c r="AA5" s="7" t="s">
        <v>6</v>
      </c>
    </row>
    <row r="6" spans="1:32" ht="15.6" customHeight="1" x14ac:dyDescent="0.45">
      <c r="A6" s="70"/>
      <c r="B6" s="70"/>
      <c r="C6" s="70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71"/>
      <c r="Z6" s="71"/>
      <c r="AA6" s="71"/>
    </row>
    <row r="7" spans="1:32" ht="15.6" customHeight="1" x14ac:dyDescent="0.45">
      <c r="A7" s="110" t="s">
        <v>40</v>
      </c>
      <c r="B7" s="72" t="s">
        <v>8</v>
      </c>
      <c r="C7" s="73"/>
      <c r="D7" s="74">
        <v>556.1</v>
      </c>
      <c r="E7" s="74">
        <v>537.20000000000005</v>
      </c>
      <c r="F7" s="75">
        <v>540.79999999999995</v>
      </c>
      <c r="G7" s="75">
        <v>607.79999999999995</v>
      </c>
      <c r="H7" s="75">
        <v>622.5</v>
      </c>
      <c r="I7" s="75">
        <v>643.20000000000005</v>
      </c>
      <c r="J7" s="75">
        <v>643</v>
      </c>
      <c r="K7" s="75">
        <v>625.6</v>
      </c>
      <c r="L7" s="74" t="s">
        <v>9</v>
      </c>
      <c r="M7" s="74" t="s">
        <v>9</v>
      </c>
      <c r="N7" s="74" t="s">
        <v>9</v>
      </c>
      <c r="O7" s="74">
        <v>1143.69</v>
      </c>
      <c r="P7" s="74">
        <v>1142.6099999999999</v>
      </c>
      <c r="Q7" s="74">
        <v>1143.49</v>
      </c>
      <c r="R7" s="74">
        <v>1146.29</v>
      </c>
      <c r="S7" s="74">
        <v>1147.24</v>
      </c>
      <c r="T7" s="74">
        <v>1292.6969999999999</v>
      </c>
      <c r="U7" s="74">
        <v>1288.4970000000001</v>
      </c>
      <c r="V7" s="74">
        <v>1290.3869999999999</v>
      </c>
      <c r="W7" s="74">
        <v>1290.9970000000001</v>
      </c>
      <c r="X7" s="74">
        <v>1291.07</v>
      </c>
      <c r="Y7" s="74">
        <v>1290.2176890732032</v>
      </c>
      <c r="Z7" s="74">
        <v>975.21</v>
      </c>
      <c r="AA7" s="74">
        <v>970.98</v>
      </c>
      <c r="AB7" s="76"/>
      <c r="AC7" s="76"/>
      <c r="AD7" s="76"/>
      <c r="AE7" s="76"/>
      <c r="AF7" s="76"/>
    </row>
    <row r="8" spans="1:32" ht="15.6" customHeight="1" x14ac:dyDescent="0.45">
      <c r="A8" s="120"/>
      <c r="B8" s="24" t="s">
        <v>11</v>
      </c>
      <c r="C8" s="20" t="s">
        <v>12</v>
      </c>
      <c r="D8" s="22" t="s">
        <v>9</v>
      </c>
      <c r="E8" s="22" t="s">
        <v>9</v>
      </c>
      <c r="F8" s="22" t="s">
        <v>9</v>
      </c>
      <c r="G8" s="22" t="s">
        <v>9</v>
      </c>
      <c r="H8" s="22" t="s">
        <v>9</v>
      </c>
      <c r="I8" s="22" t="s">
        <v>9</v>
      </c>
      <c r="J8" s="22" t="s">
        <v>9</v>
      </c>
      <c r="K8" s="22" t="s">
        <v>9</v>
      </c>
      <c r="L8" s="22" t="s">
        <v>9</v>
      </c>
      <c r="M8" s="22" t="s">
        <v>9</v>
      </c>
      <c r="N8" s="22" t="s">
        <v>9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C8" s="77"/>
    </row>
    <row r="9" spans="1:32" ht="15.6" customHeight="1" x14ac:dyDescent="0.45">
      <c r="A9" s="120"/>
      <c r="B9" s="19" t="s">
        <v>16</v>
      </c>
      <c r="C9" s="32" t="s">
        <v>17</v>
      </c>
      <c r="D9" s="22" t="s">
        <v>9</v>
      </c>
      <c r="E9" s="22" t="s">
        <v>9</v>
      </c>
      <c r="F9" s="22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 t="s">
        <v>9</v>
      </c>
      <c r="M9" s="22" t="s">
        <v>9</v>
      </c>
      <c r="N9" s="22" t="s">
        <v>18</v>
      </c>
      <c r="O9" s="22" t="s">
        <v>18</v>
      </c>
      <c r="P9" s="22" t="s">
        <v>18</v>
      </c>
      <c r="Q9" s="22" t="s">
        <v>18</v>
      </c>
      <c r="R9" s="22" t="s">
        <v>18</v>
      </c>
      <c r="S9" s="22" t="s">
        <v>18</v>
      </c>
      <c r="T9" s="22" t="s">
        <v>18</v>
      </c>
      <c r="U9" s="22" t="s">
        <v>18</v>
      </c>
      <c r="V9" s="22" t="s">
        <v>18</v>
      </c>
      <c r="W9" s="22" t="s">
        <v>18</v>
      </c>
      <c r="X9" s="22" t="s">
        <v>18</v>
      </c>
      <c r="Y9" s="22" t="s">
        <v>18</v>
      </c>
      <c r="Z9" s="22" t="s">
        <v>18</v>
      </c>
      <c r="AA9" s="22" t="s">
        <v>18</v>
      </c>
      <c r="AB9" s="76"/>
      <c r="AC9" s="76"/>
      <c r="AD9" s="76"/>
      <c r="AE9" s="76"/>
    </row>
    <row r="10" spans="1:32" ht="15.6" customHeight="1" x14ac:dyDescent="0.45">
      <c r="A10" s="120"/>
      <c r="B10" s="3" t="s">
        <v>20</v>
      </c>
      <c r="C10" s="20" t="s">
        <v>21</v>
      </c>
      <c r="D10" s="22" t="s">
        <v>9</v>
      </c>
      <c r="E10" s="22" t="s">
        <v>9</v>
      </c>
      <c r="F10" s="22" t="s">
        <v>9</v>
      </c>
      <c r="G10" s="22" t="s">
        <v>9</v>
      </c>
      <c r="H10" s="22" t="s">
        <v>9</v>
      </c>
      <c r="I10" s="22" t="s">
        <v>9</v>
      </c>
      <c r="J10" s="22" t="s">
        <v>9</v>
      </c>
      <c r="K10" s="22" t="s">
        <v>9</v>
      </c>
      <c r="L10" s="22" t="s">
        <v>9</v>
      </c>
      <c r="M10" s="22" t="s">
        <v>9</v>
      </c>
      <c r="N10" s="22" t="s">
        <v>9</v>
      </c>
      <c r="O10" s="22">
        <v>73.38</v>
      </c>
      <c r="P10" s="22">
        <v>73.38</v>
      </c>
      <c r="Q10" s="22">
        <v>73.38</v>
      </c>
      <c r="R10" s="22">
        <v>73.38</v>
      </c>
      <c r="S10" s="22">
        <v>73.38</v>
      </c>
      <c r="T10" s="22">
        <v>120.45</v>
      </c>
      <c r="U10" s="22">
        <v>120.45</v>
      </c>
      <c r="V10" s="22">
        <v>120.45</v>
      </c>
      <c r="W10" s="22">
        <v>120.45</v>
      </c>
      <c r="X10" s="22">
        <v>120.45</v>
      </c>
      <c r="Y10" s="22">
        <v>120.45</v>
      </c>
      <c r="Z10" s="22">
        <v>124.76</v>
      </c>
      <c r="AA10" s="22">
        <v>124.76</v>
      </c>
      <c r="AC10" s="77"/>
    </row>
    <row r="11" spans="1:32" ht="27.6" customHeight="1" x14ac:dyDescent="0.45">
      <c r="A11" s="120"/>
      <c r="B11" s="3" t="s">
        <v>22</v>
      </c>
      <c r="C11" s="37" t="s">
        <v>23</v>
      </c>
      <c r="D11" s="22" t="s">
        <v>9</v>
      </c>
      <c r="E11" s="22" t="s">
        <v>9</v>
      </c>
      <c r="F11" s="22" t="s">
        <v>9</v>
      </c>
      <c r="G11" s="22" t="s">
        <v>9</v>
      </c>
      <c r="H11" s="22" t="s">
        <v>9</v>
      </c>
      <c r="I11" s="22" t="s">
        <v>9</v>
      </c>
      <c r="J11" s="22" t="s">
        <v>9</v>
      </c>
      <c r="K11" s="22" t="s">
        <v>9</v>
      </c>
      <c r="L11" s="22" t="s">
        <v>9</v>
      </c>
      <c r="M11" s="22" t="s">
        <v>9</v>
      </c>
      <c r="N11" s="22" t="s">
        <v>18</v>
      </c>
      <c r="O11" s="22" t="s">
        <v>18</v>
      </c>
      <c r="P11" s="22" t="s">
        <v>18</v>
      </c>
      <c r="Q11" s="22" t="s">
        <v>18</v>
      </c>
      <c r="R11" s="22" t="s">
        <v>18</v>
      </c>
      <c r="S11" s="22" t="s">
        <v>18</v>
      </c>
      <c r="T11" s="22" t="s">
        <v>18</v>
      </c>
      <c r="U11" s="22" t="s">
        <v>18</v>
      </c>
      <c r="V11" s="22" t="s">
        <v>18</v>
      </c>
      <c r="W11" s="22" t="s">
        <v>18</v>
      </c>
      <c r="X11" s="22" t="s">
        <v>18</v>
      </c>
      <c r="Y11" s="22" t="s">
        <v>18</v>
      </c>
      <c r="Z11" s="22" t="s">
        <v>18</v>
      </c>
      <c r="AA11" s="22" t="s">
        <v>18</v>
      </c>
      <c r="AC11" s="77"/>
    </row>
    <row r="12" spans="1:32" ht="15.6" customHeight="1" x14ac:dyDescent="0.45">
      <c r="A12" s="120"/>
      <c r="B12" s="3" t="s">
        <v>24</v>
      </c>
      <c r="C12" s="37" t="s">
        <v>25</v>
      </c>
      <c r="D12" s="22" t="s">
        <v>9</v>
      </c>
      <c r="E12" s="22" t="s">
        <v>9</v>
      </c>
      <c r="F12" s="22" t="s">
        <v>9</v>
      </c>
      <c r="G12" s="22" t="s">
        <v>9</v>
      </c>
      <c r="H12" s="22" t="s">
        <v>9</v>
      </c>
      <c r="I12" s="22" t="s">
        <v>9</v>
      </c>
      <c r="J12" s="22" t="s">
        <v>9</v>
      </c>
      <c r="K12" s="22" t="s">
        <v>9</v>
      </c>
      <c r="L12" s="22" t="s">
        <v>9</v>
      </c>
      <c r="M12" s="22" t="s">
        <v>9</v>
      </c>
      <c r="N12" s="22" t="s">
        <v>9</v>
      </c>
      <c r="O12" s="22" t="s">
        <v>9</v>
      </c>
      <c r="P12" s="22" t="s">
        <v>9</v>
      </c>
      <c r="Q12" s="22" t="s">
        <v>9</v>
      </c>
      <c r="R12" s="22" t="s">
        <v>9</v>
      </c>
      <c r="S12" s="22" t="s">
        <v>9</v>
      </c>
      <c r="T12" s="22" t="s">
        <v>9</v>
      </c>
      <c r="U12" s="22" t="s">
        <v>9</v>
      </c>
      <c r="V12" s="22" t="s">
        <v>9</v>
      </c>
      <c r="W12" s="22" t="s">
        <v>9</v>
      </c>
      <c r="X12" s="22" t="s">
        <v>9</v>
      </c>
      <c r="Y12" s="22" t="s">
        <v>9</v>
      </c>
      <c r="Z12" s="22" t="s">
        <v>9</v>
      </c>
      <c r="AA12" s="22" t="s">
        <v>9</v>
      </c>
      <c r="AC12" s="77"/>
    </row>
    <row r="13" spans="1:32" ht="15.6" customHeight="1" x14ac:dyDescent="0.45">
      <c r="A13" s="120"/>
      <c r="B13" s="40" t="s">
        <v>26</v>
      </c>
      <c r="C13" s="37" t="s">
        <v>27</v>
      </c>
      <c r="D13" s="78">
        <v>205.4</v>
      </c>
      <c r="E13" s="78">
        <v>204.5</v>
      </c>
      <c r="F13" s="78">
        <v>205.7</v>
      </c>
      <c r="G13" s="78">
        <v>214.5</v>
      </c>
      <c r="H13" s="78">
        <v>215.3</v>
      </c>
      <c r="I13" s="78">
        <v>214.6</v>
      </c>
      <c r="J13" s="78">
        <v>213.3</v>
      </c>
      <c r="K13" s="22">
        <v>230.7</v>
      </c>
      <c r="L13" s="22" t="s">
        <v>9</v>
      </c>
      <c r="M13" s="22" t="s">
        <v>9</v>
      </c>
      <c r="N13" s="22" t="s">
        <v>9</v>
      </c>
      <c r="O13" s="22">
        <v>31.8</v>
      </c>
      <c r="P13" s="22">
        <v>31.8</v>
      </c>
      <c r="Q13" s="22">
        <v>31.8</v>
      </c>
      <c r="R13" s="22">
        <v>31.8</v>
      </c>
      <c r="S13" s="22">
        <v>31.8</v>
      </c>
      <c r="T13" s="22" t="s">
        <v>9</v>
      </c>
      <c r="U13" s="22" t="s">
        <v>9</v>
      </c>
      <c r="V13" s="22" t="s">
        <v>9</v>
      </c>
      <c r="W13" s="22" t="s">
        <v>9</v>
      </c>
      <c r="X13" s="22" t="s">
        <v>9</v>
      </c>
      <c r="Y13" s="22" t="s">
        <v>9</v>
      </c>
      <c r="Z13" s="22" t="s">
        <v>9</v>
      </c>
      <c r="AA13" s="22" t="s">
        <v>9</v>
      </c>
      <c r="AB13" s="79"/>
      <c r="AC13" s="79"/>
      <c r="AD13" s="79"/>
      <c r="AE13" s="79"/>
    </row>
    <row r="14" spans="1:32" ht="15.6" customHeight="1" x14ac:dyDescent="0.45">
      <c r="A14" s="121"/>
      <c r="B14" s="19" t="s">
        <v>28</v>
      </c>
      <c r="C14" s="20"/>
      <c r="D14" s="22">
        <v>350.7</v>
      </c>
      <c r="E14" s="78">
        <v>332.7</v>
      </c>
      <c r="F14" s="78">
        <v>335.1</v>
      </c>
      <c r="G14" s="78">
        <v>393.3</v>
      </c>
      <c r="H14" s="78">
        <v>407.3</v>
      </c>
      <c r="I14" s="78">
        <v>428.6</v>
      </c>
      <c r="J14" s="78">
        <v>429.6</v>
      </c>
      <c r="K14" s="78">
        <v>394.8</v>
      </c>
      <c r="L14" s="22" t="s">
        <v>9</v>
      </c>
      <c r="M14" s="22" t="s">
        <v>9</v>
      </c>
      <c r="N14" s="22" t="s">
        <v>9</v>
      </c>
      <c r="O14" s="22">
        <v>1020.83</v>
      </c>
      <c r="P14" s="22">
        <v>1020.83</v>
      </c>
      <c r="Q14" s="22">
        <v>1020.83</v>
      </c>
      <c r="R14" s="22">
        <v>1020.83</v>
      </c>
      <c r="S14" s="22">
        <v>1020.83</v>
      </c>
      <c r="T14" s="22">
        <v>1149.0070000000001</v>
      </c>
      <c r="U14" s="22">
        <v>1149.0070000000001</v>
      </c>
      <c r="V14" s="22">
        <v>1149.0070000000001</v>
      </c>
      <c r="W14" s="22">
        <v>1149.0070000000001</v>
      </c>
      <c r="X14" s="22">
        <v>1149.0070000000001</v>
      </c>
      <c r="Y14" s="22">
        <v>1149.0070000000001</v>
      </c>
      <c r="Z14" s="22">
        <v>832.05</v>
      </c>
      <c r="AA14" s="22">
        <v>832.05</v>
      </c>
      <c r="AC14" s="77"/>
    </row>
    <row r="15" spans="1:32" ht="15.6" customHeight="1" x14ac:dyDescent="0.45">
      <c r="A15" s="110">
        <v>2</v>
      </c>
      <c r="B15" s="80" t="s">
        <v>8</v>
      </c>
      <c r="C15" s="81"/>
      <c r="D15" s="82" t="s">
        <v>9</v>
      </c>
      <c r="E15" s="82" t="s">
        <v>9</v>
      </c>
      <c r="F15" s="82" t="s">
        <v>9</v>
      </c>
      <c r="G15" s="82" t="s">
        <v>9</v>
      </c>
      <c r="H15" s="82" t="s">
        <v>9</v>
      </c>
      <c r="I15" s="82" t="s">
        <v>9</v>
      </c>
      <c r="J15" s="82" t="s">
        <v>9</v>
      </c>
      <c r="K15" s="82" t="s">
        <v>9</v>
      </c>
      <c r="L15" s="82" t="s">
        <v>9</v>
      </c>
      <c r="M15" s="82" t="s">
        <v>9</v>
      </c>
      <c r="N15" s="82" t="s">
        <v>9</v>
      </c>
      <c r="O15" s="74">
        <v>8528.4599999999991</v>
      </c>
      <c r="P15" s="74">
        <v>8399.3700000000008</v>
      </c>
      <c r="Q15" s="74">
        <v>8090.74</v>
      </c>
      <c r="R15" s="74">
        <v>8313.64</v>
      </c>
      <c r="S15" s="74">
        <v>8390.02</v>
      </c>
      <c r="T15" s="74">
        <v>7551.7929999999997</v>
      </c>
      <c r="U15" s="74">
        <v>7739.1419999999998</v>
      </c>
      <c r="V15" s="74">
        <v>7635.6220000000003</v>
      </c>
      <c r="W15" s="74">
        <v>7681.0879999999997</v>
      </c>
      <c r="X15" s="74">
        <v>7773.52</v>
      </c>
      <c r="Y15" s="74">
        <v>7897.4517459999997</v>
      </c>
      <c r="Z15" s="74">
        <v>7101.85</v>
      </c>
      <c r="AA15" s="74">
        <v>7145.18</v>
      </c>
      <c r="AC15" s="77"/>
    </row>
    <row r="16" spans="1:32" ht="15.6" customHeight="1" x14ac:dyDescent="0.45">
      <c r="A16" s="111"/>
      <c r="B16" s="24" t="s">
        <v>11</v>
      </c>
      <c r="C16" s="20" t="s">
        <v>12</v>
      </c>
      <c r="D16" s="22" t="s">
        <v>9</v>
      </c>
      <c r="E16" s="22" t="s">
        <v>9</v>
      </c>
      <c r="F16" s="22" t="s">
        <v>9</v>
      </c>
      <c r="G16" s="22" t="s">
        <v>9</v>
      </c>
      <c r="H16" s="22" t="s">
        <v>9</v>
      </c>
      <c r="I16" s="22" t="s">
        <v>9</v>
      </c>
      <c r="J16" s="22" t="s">
        <v>9</v>
      </c>
      <c r="K16" s="22" t="s">
        <v>9</v>
      </c>
      <c r="L16" s="22" t="s">
        <v>9</v>
      </c>
      <c r="M16" s="22" t="s">
        <v>9</v>
      </c>
      <c r="N16" s="22" t="s">
        <v>9</v>
      </c>
      <c r="O16" s="22">
        <v>7221.11</v>
      </c>
      <c r="P16" s="22">
        <v>7221.11</v>
      </c>
      <c r="Q16" s="22">
        <v>7221.11</v>
      </c>
      <c r="R16" s="22">
        <v>7221.11</v>
      </c>
      <c r="S16" s="22">
        <v>7221.11</v>
      </c>
      <c r="T16" s="22">
        <v>6603.7020000000002</v>
      </c>
      <c r="U16" s="22">
        <v>6603.7020000000002</v>
      </c>
      <c r="V16" s="22">
        <v>6603.7020000000002</v>
      </c>
      <c r="W16" s="22">
        <v>6603.7020000000002</v>
      </c>
      <c r="X16" s="22">
        <v>6603.7020000000002</v>
      </c>
      <c r="Y16" s="22">
        <v>6603.7020000000002</v>
      </c>
      <c r="Z16" s="22">
        <v>5926.26</v>
      </c>
      <c r="AA16" s="22">
        <v>5926.26</v>
      </c>
      <c r="AC16" s="77"/>
    </row>
    <row r="17" spans="1:30" ht="16.149999999999999" customHeight="1" x14ac:dyDescent="0.45">
      <c r="A17" s="111"/>
      <c r="B17" s="19" t="s">
        <v>16</v>
      </c>
      <c r="C17" s="32" t="s">
        <v>17</v>
      </c>
      <c r="D17" s="22" t="s">
        <v>9</v>
      </c>
      <c r="E17" s="22" t="s">
        <v>9</v>
      </c>
      <c r="F17" s="22" t="s">
        <v>9</v>
      </c>
      <c r="G17" s="22" t="s">
        <v>9</v>
      </c>
      <c r="H17" s="22" t="s">
        <v>9</v>
      </c>
      <c r="I17" s="22" t="s">
        <v>9</v>
      </c>
      <c r="J17" s="22" t="s">
        <v>9</v>
      </c>
      <c r="K17" s="22" t="s">
        <v>9</v>
      </c>
      <c r="L17" s="22" t="s">
        <v>9</v>
      </c>
      <c r="M17" s="22" t="s">
        <v>9</v>
      </c>
      <c r="N17" s="22" t="s">
        <v>18</v>
      </c>
      <c r="O17" s="22" t="s">
        <v>18</v>
      </c>
      <c r="P17" s="22" t="s">
        <v>18</v>
      </c>
      <c r="Q17" s="22" t="s">
        <v>18</v>
      </c>
      <c r="R17" s="22" t="s">
        <v>18</v>
      </c>
      <c r="S17" s="22" t="s">
        <v>18</v>
      </c>
      <c r="T17" s="22" t="s">
        <v>18</v>
      </c>
      <c r="U17" s="22" t="s">
        <v>18</v>
      </c>
      <c r="V17" s="22" t="s">
        <v>18</v>
      </c>
      <c r="W17" s="22" t="s">
        <v>18</v>
      </c>
      <c r="X17" s="22" t="s">
        <v>18</v>
      </c>
      <c r="Y17" s="22" t="s">
        <v>18</v>
      </c>
      <c r="Z17" s="22" t="s">
        <v>18</v>
      </c>
      <c r="AA17" s="22" t="s">
        <v>18</v>
      </c>
      <c r="AC17" s="77"/>
    </row>
    <row r="18" spans="1:30" ht="16.149999999999999" customHeight="1" x14ac:dyDescent="0.45">
      <c r="A18" s="111"/>
      <c r="B18" s="3" t="s">
        <v>20</v>
      </c>
      <c r="C18" s="20" t="s">
        <v>21</v>
      </c>
      <c r="D18" s="22" t="s">
        <v>9</v>
      </c>
      <c r="E18" s="22" t="s">
        <v>9</v>
      </c>
      <c r="F18" s="22" t="s">
        <v>9</v>
      </c>
      <c r="G18" s="22" t="s">
        <v>9</v>
      </c>
      <c r="H18" s="22" t="s">
        <v>9</v>
      </c>
      <c r="I18" s="22" t="s">
        <v>9</v>
      </c>
      <c r="J18" s="22" t="s">
        <v>9</v>
      </c>
      <c r="K18" s="22" t="s">
        <v>9</v>
      </c>
      <c r="L18" s="22" t="s">
        <v>9</v>
      </c>
      <c r="M18" s="22" t="s">
        <v>9</v>
      </c>
      <c r="N18" s="22" t="s">
        <v>9</v>
      </c>
      <c r="O18" s="22">
        <v>116.11</v>
      </c>
      <c r="P18" s="22">
        <v>116.11</v>
      </c>
      <c r="Q18" s="22">
        <v>116.11</v>
      </c>
      <c r="R18" s="22">
        <v>116.11</v>
      </c>
      <c r="S18" s="22">
        <v>116.11</v>
      </c>
      <c r="T18" s="22">
        <v>65.010000000000005</v>
      </c>
      <c r="U18" s="22">
        <v>65.010000000000005</v>
      </c>
      <c r="V18" s="22">
        <v>65.010000000000005</v>
      </c>
      <c r="W18" s="22">
        <v>65.010000000000005</v>
      </c>
      <c r="X18" s="22">
        <v>65.010000000000005</v>
      </c>
      <c r="Y18" s="22">
        <v>65.010000000000005</v>
      </c>
      <c r="Z18" s="22">
        <v>67.34</v>
      </c>
      <c r="AA18" s="22">
        <v>67.34</v>
      </c>
      <c r="AC18" s="77"/>
    </row>
    <row r="19" spans="1:30" ht="27.6" customHeight="1" x14ac:dyDescent="0.45">
      <c r="A19" s="111"/>
      <c r="B19" s="3" t="s">
        <v>22</v>
      </c>
      <c r="C19" s="37" t="s">
        <v>23</v>
      </c>
      <c r="D19" s="22" t="s">
        <v>9</v>
      </c>
      <c r="E19" s="22" t="s">
        <v>9</v>
      </c>
      <c r="F19" s="22" t="s">
        <v>9</v>
      </c>
      <c r="G19" s="22" t="s">
        <v>9</v>
      </c>
      <c r="H19" s="22" t="s">
        <v>9</v>
      </c>
      <c r="I19" s="22" t="s">
        <v>9</v>
      </c>
      <c r="J19" s="22" t="s">
        <v>9</v>
      </c>
      <c r="K19" s="22" t="s">
        <v>9</v>
      </c>
      <c r="L19" s="22" t="s">
        <v>9</v>
      </c>
      <c r="M19" s="22" t="s">
        <v>9</v>
      </c>
      <c r="N19" s="22" t="s">
        <v>18</v>
      </c>
      <c r="O19" s="22" t="s">
        <v>18</v>
      </c>
      <c r="P19" s="22" t="s">
        <v>18</v>
      </c>
      <c r="Q19" s="22" t="s">
        <v>18</v>
      </c>
      <c r="R19" s="22" t="s">
        <v>18</v>
      </c>
      <c r="S19" s="22" t="s">
        <v>18</v>
      </c>
      <c r="T19" s="22" t="s">
        <v>18</v>
      </c>
      <c r="U19" s="22" t="s">
        <v>18</v>
      </c>
      <c r="V19" s="22" t="s">
        <v>18</v>
      </c>
      <c r="W19" s="22" t="s">
        <v>18</v>
      </c>
      <c r="X19" s="22" t="s">
        <v>18</v>
      </c>
      <c r="Y19" s="22" t="s">
        <v>18</v>
      </c>
      <c r="Z19" s="22" t="s">
        <v>18</v>
      </c>
      <c r="AA19" s="22" t="s">
        <v>18</v>
      </c>
      <c r="AC19" s="77"/>
    </row>
    <row r="20" spans="1:30" ht="15.6" customHeight="1" x14ac:dyDescent="0.45">
      <c r="A20" s="111"/>
      <c r="B20" s="3" t="s">
        <v>24</v>
      </c>
      <c r="C20" s="37" t="s">
        <v>25</v>
      </c>
      <c r="D20" s="22" t="s">
        <v>9</v>
      </c>
      <c r="E20" s="22" t="s">
        <v>9</v>
      </c>
      <c r="F20" s="22" t="s">
        <v>9</v>
      </c>
      <c r="G20" s="22" t="s">
        <v>9</v>
      </c>
      <c r="H20" s="22" t="s">
        <v>9</v>
      </c>
      <c r="I20" s="22" t="s">
        <v>9</v>
      </c>
      <c r="J20" s="22" t="s">
        <v>9</v>
      </c>
      <c r="K20" s="22" t="s">
        <v>9</v>
      </c>
      <c r="L20" s="22" t="s">
        <v>9</v>
      </c>
      <c r="M20" s="22" t="s">
        <v>9</v>
      </c>
      <c r="N20" s="22" t="s">
        <v>9</v>
      </c>
      <c r="O20" s="22" t="s">
        <v>9</v>
      </c>
      <c r="P20" s="22" t="s">
        <v>9</v>
      </c>
      <c r="Q20" s="22" t="s">
        <v>9</v>
      </c>
      <c r="R20" s="22" t="s">
        <v>9</v>
      </c>
      <c r="S20" s="22" t="s">
        <v>9</v>
      </c>
      <c r="T20" s="22" t="s">
        <v>9</v>
      </c>
      <c r="U20" s="22" t="s">
        <v>9</v>
      </c>
      <c r="V20" s="22" t="s">
        <v>9</v>
      </c>
      <c r="W20" s="22" t="s">
        <v>9</v>
      </c>
      <c r="X20" s="22" t="s">
        <v>9</v>
      </c>
      <c r="Y20" s="22" t="s">
        <v>9</v>
      </c>
      <c r="Z20" s="22" t="s">
        <v>9</v>
      </c>
      <c r="AA20" s="22" t="s">
        <v>9</v>
      </c>
      <c r="AC20" s="77"/>
    </row>
    <row r="21" spans="1:30" ht="15.6" customHeight="1" x14ac:dyDescent="0.45">
      <c r="A21" s="111"/>
      <c r="B21" s="40" t="s">
        <v>26</v>
      </c>
      <c r="C21" s="37" t="s">
        <v>27</v>
      </c>
      <c r="D21" s="22" t="s">
        <v>9</v>
      </c>
      <c r="E21" s="22" t="s">
        <v>9</v>
      </c>
      <c r="F21" s="22" t="s">
        <v>9</v>
      </c>
      <c r="G21" s="22" t="s">
        <v>9</v>
      </c>
      <c r="H21" s="22" t="s">
        <v>9</v>
      </c>
      <c r="I21" s="22" t="s">
        <v>9</v>
      </c>
      <c r="J21" s="22" t="s">
        <v>9</v>
      </c>
      <c r="K21" s="22" t="s">
        <v>9</v>
      </c>
      <c r="L21" s="22" t="s">
        <v>9</v>
      </c>
      <c r="M21" s="22" t="s">
        <v>9</v>
      </c>
      <c r="N21" s="22" t="s">
        <v>9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C21" s="77"/>
    </row>
    <row r="22" spans="1:30" ht="15.6" customHeight="1" x14ac:dyDescent="0.45">
      <c r="A22" s="112"/>
      <c r="B22" s="19" t="s">
        <v>28</v>
      </c>
      <c r="C22" s="20"/>
      <c r="D22" s="22" t="s">
        <v>9</v>
      </c>
      <c r="E22" s="22" t="s">
        <v>9</v>
      </c>
      <c r="F22" s="22" t="s">
        <v>9</v>
      </c>
      <c r="G22" s="22" t="s">
        <v>9</v>
      </c>
      <c r="H22" s="22" t="s">
        <v>9</v>
      </c>
      <c r="I22" s="22" t="s">
        <v>9</v>
      </c>
      <c r="J22" s="22" t="s">
        <v>9</v>
      </c>
      <c r="K22" s="22" t="s">
        <v>9</v>
      </c>
      <c r="L22" s="22" t="s">
        <v>9</v>
      </c>
      <c r="M22" s="22" t="s">
        <v>9</v>
      </c>
      <c r="N22" s="22" t="s">
        <v>9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C22" s="77"/>
    </row>
    <row r="23" spans="1:30" ht="15.6" customHeight="1" x14ac:dyDescent="0.45">
      <c r="A23" s="110" t="s">
        <v>8</v>
      </c>
      <c r="B23" s="83" t="s">
        <v>8</v>
      </c>
      <c r="C23" s="84"/>
      <c r="D23" s="85">
        <v>556.1</v>
      </c>
      <c r="E23" s="86">
        <v>537.20000000000005</v>
      </c>
      <c r="F23" s="86">
        <v>540.79999999999995</v>
      </c>
      <c r="G23" s="86">
        <v>607.79999999999995</v>
      </c>
      <c r="H23" s="86">
        <v>622.5</v>
      </c>
      <c r="I23" s="86">
        <v>643.20000000000005</v>
      </c>
      <c r="J23" s="86">
        <v>643</v>
      </c>
      <c r="K23" s="86">
        <v>625.6</v>
      </c>
      <c r="L23" s="86" t="s">
        <v>9</v>
      </c>
      <c r="M23" s="86" t="s">
        <v>9</v>
      </c>
      <c r="N23" s="86" t="s">
        <v>9</v>
      </c>
      <c r="O23" s="86">
        <f>SUM(O7,O15)</f>
        <v>9672.15</v>
      </c>
      <c r="P23" s="87">
        <f t="shared" ref="P23:AA24" si="0">SUM(P7,P15)</f>
        <v>9541.9800000000014</v>
      </c>
      <c r="Q23" s="87">
        <f t="shared" si="0"/>
        <v>9234.23</v>
      </c>
      <c r="R23" s="87">
        <f t="shared" si="0"/>
        <v>9459.93</v>
      </c>
      <c r="S23" s="87">
        <f t="shared" si="0"/>
        <v>9537.26</v>
      </c>
      <c r="T23" s="87">
        <f t="shared" si="0"/>
        <v>8844.49</v>
      </c>
      <c r="U23" s="87">
        <f t="shared" si="0"/>
        <v>9027.6389999999992</v>
      </c>
      <c r="V23" s="87">
        <f t="shared" si="0"/>
        <v>8926.009</v>
      </c>
      <c r="W23" s="87">
        <f>W7+W15</f>
        <v>8972.0849999999991</v>
      </c>
      <c r="X23" s="87">
        <f>X7+X15</f>
        <v>9064.59</v>
      </c>
      <c r="Y23" s="87">
        <f>Y7+Y15</f>
        <v>9187.6694350732032</v>
      </c>
      <c r="Z23" s="87">
        <f>Z7+Z15</f>
        <v>8077.06</v>
      </c>
      <c r="AA23" s="87">
        <f>AA7+AA15</f>
        <v>8116.16</v>
      </c>
      <c r="AB23" s="76"/>
      <c r="AC23" s="76"/>
    </row>
    <row r="24" spans="1:30" ht="15" customHeight="1" x14ac:dyDescent="0.45">
      <c r="A24" s="111"/>
      <c r="B24" s="24" t="s">
        <v>11</v>
      </c>
      <c r="C24" s="20" t="s">
        <v>12</v>
      </c>
      <c r="D24" s="22" t="s">
        <v>9</v>
      </c>
      <c r="E24" s="22" t="s">
        <v>9</v>
      </c>
      <c r="F24" s="22" t="s">
        <v>9</v>
      </c>
      <c r="G24" s="22" t="s">
        <v>9</v>
      </c>
      <c r="H24" s="22" t="s">
        <v>9</v>
      </c>
      <c r="I24" s="22" t="s">
        <v>9</v>
      </c>
      <c r="J24" s="22" t="s">
        <v>9</v>
      </c>
      <c r="K24" s="22" t="s">
        <v>9</v>
      </c>
      <c r="L24" s="22" t="s">
        <v>9</v>
      </c>
      <c r="M24" s="22" t="s">
        <v>9</v>
      </c>
      <c r="N24" s="22" t="s">
        <v>9</v>
      </c>
      <c r="O24" s="22">
        <f>SUM(O8,O16)</f>
        <v>7221.11</v>
      </c>
      <c r="P24" s="22">
        <f t="shared" si="0"/>
        <v>7221.11</v>
      </c>
      <c r="Q24" s="22">
        <f t="shared" si="0"/>
        <v>7221.11</v>
      </c>
      <c r="R24" s="22">
        <f t="shared" si="0"/>
        <v>7221.11</v>
      </c>
      <c r="S24" s="22">
        <f t="shared" si="0"/>
        <v>7221.11</v>
      </c>
      <c r="T24" s="22">
        <f t="shared" si="0"/>
        <v>6603.7020000000002</v>
      </c>
      <c r="U24" s="22">
        <f t="shared" si="0"/>
        <v>6603.7020000000002</v>
      </c>
      <c r="V24" s="22">
        <f t="shared" si="0"/>
        <v>6603.7020000000002</v>
      </c>
      <c r="W24" s="22">
        <f t="shared" si="0"/>
        <v>6603.7020000000002</v>
      </c>
      <c r="X24" s="22">
        <f t="shared" si="0"/>
        <v>6603.7020000000002</v>
      </c>
      <c r="Y24" s="22">
        <f t="shared" si="0"/>
        <v>6603.7020000000002</v>
      </c>
      <c r="Z24" s="22">
        <f t="shared" si="0"/>
        <v>5926.26</v>
      </c>
      <c r="AA24" s="22">
        <f t="shared" si="0"/>
        <v>5926.26</v>
      </c>
      <c r="AC24" s="77"/>
    </row>
    <row r="25" spans="1:30" ht="15.6" customHeight="1" x14ac:dyDescent="0.45">
      <c r="A25" s="111"/>
      <c r="B25" s="19" t="s">
        <v>16</v>
      </c>
      <c r="C25" s="32" t="s">
        <v>17</v>
      </c>
      <c r="D25" s="22" t="s">
        <v>9</v>
      </c>
      <c r="E25" s="22" t="s">
        <v>9</v>
      </c>
      <c r="F25" s="22" t="s">
        <v>9</v>
      </c>
      <c r="G25" s="22" t="s">
        <v>9</v>
      </c>
      <c r="H25" s="22" t="s">
        <v>9</v>
      </c>
      <c r="I25" s="22" t="s">
        <v>9</v>
      </c>
      <c r="J25" s="22" t="s">
        <v>9</v>
      </c>
      <c r="K25" s="22" t="s">
        <v>9</v>
      </c>
      <c r="L25" s="22" t="s">
        <v>9</v>
      </c>
      <c r="M25" s="22" t="s">
        <v>9</v>
      </c>
      <c r="N25" s="22" t="s">
        <v>18</v>
      </c>
      <c r="O25" s="22" t="s">
        <v>18</v>
      </c>
      <c r="P25" s="22" t="s">
        <v>18</v>
      </c>
      <c r="Q25" s="22" t="s">
        <v>18</v>
      </c>
      <c r="R25" s="22" t="s">
        <v>18</v>
      </c>
      <c r="S25" s="22" t="s">
        <v>18</v>
      </c>
      <c r="T25" s="22" t="s">
        <v>18</v>
      </c>
      <c r="U25" s="22" t="s">
        <v>18</v>
      </c>
      <c r="V25" s="22" t="s">
        <v>18</v>
      </c>
      <c r="W25" s="22" t="s">
        <v>18</v>
      </c>
      <c r="X25" s="22" t="s">
        <v>18</v>
      </c>
      <c r="Y25" s="22" t="s">
        <v>18</v>
      </c>
      <c r="Z25" s="22" t="s">
        <v>18</v>
      </c>
      <c r="AA25" s="22" t="s">
        <v>18</v>
      </c>
      <c r="AC25" s="77"/>
    </row>
    <row r="26" spans="1:30" ht="15.6" customHeight="1" x14ac:dyDescent="0.45">
      <c r="A26" s="111"/>
      <c r="B26" s="3" t="s">
        <v>20</v>
      </c>
      <c r="C26" s="20" t="s">
        <v>21</v>
      </c>
      <c r="D26" s="22" t="s">
        <v>9</v>
      </c>
      <c r="E26" s="22" t="s">
        <v>9</v>
      </c>
      <c r="F26" s="22" t="s">
        <v>9</v>
      </c>
      <c r="G26" s="22" t="s">
        <v>9</v>
      </c>
      <c r="H26" s="22" t="s">
        <v>9</v>
      </c>
      <c r="I26" s="22" t="s">
        <v>9</v>
      </c>
      <c r="J26" s="22" t="s">
        <v>9</v>
      </c>
      <c r="K26" s="22" t="s">
        <v>9</v>
      </c>
      <c r="L26" s="22" t="s">
        <v>9</v>
      </c>
      <c r="M26" s="22" t="s">
        <v>9</v>
      </c>
      <c r="N26" s="22" t="s">
        <v>9</v>
      </c>
      <c r="O26" s="22">
        <f>SUM(O10,O18)</f>
        <v>189.49</v>
      </c>
      <c r="P26" s="22">
        <f t="shared" ref="P26:AA26" si="1">SUM(P10,P18)</f>
        <v>189.49</v>
      </c>
      <c r="Q26" s="22">
        <f t="shared" si="1"/>
        <v>189.49</v>
      </c>
      <c r="R26" s="22">
        <f t="shared" si="1"/>
        <v>189.49</v>
      </c>
      <c r="S26" s="22">
        <f t="shared" si="1"/>
        <v>189.49</v>
      </c>
      <c r="T26" s="22">
        <f t="shared" si="1"/>
        <v>185.46</v>
      </c>
      <c r="U26" s="22">
        <f t="shared" si="1"/>
        <v>185.46</v>
      </c>
      <c r="V26" s="22">
        <f t="shared" si="1"/>
        <v>185.46</v>
      </c>
      <c r="W26" s="22">
        <f t="shared" si="1"/>
        <v>185.46</v>
      </c>
      <c r="X26" s="22">
        <f t="shared" si="1"/>
        <v>185.46</v>
      </c>
      <c r="Y26" s="22">
        <f t="shared" si="1"/>
        <v>185.46</v>
      </c>
      <c r="Z26" s="22">
        <f t="shared" si="1"/>
        <v>192.10000000000002</v>
      </c>
      <c r="AA26" s="22">
        <f t="shared" si="1"/>
        <v>192.10000000000002</v>
      </c>
      <c r="AC26" s="77"/>
    </row>
    <row r="27" spans="1:30" ht="27.6" customHeight="1" x14ac:dyDescent="0.45">
      <c r="A27" s="111"/>
      <c r="B27" s="3" t="s">
        <v>22</v>
      </c>
      <c r="C27" s="37" t="s">
        <v>23</v>
      </c>
      <c r="D27" s="22" t="s">
        <v>9</v>
      </c>
      <c r="E27" s="22" t="s">
        <v>9</v>
      </c>
      <c r="F27" s="22" t="s">
        <v>9</v>
      </c>
      <c r="G27" s="22" t="s">
        <v>9</v>
      </c>
      <c r="H27" s="22" t="s">
        <v>9</v>
      </c>
      <c r="I27" s="22" t="s">
        <v>9</v>
      </c>
      <c r="J27" s="22" t="s">
        <v>9</v>
      </c>
      <c r="K27" s="22" t="s">
        <v>9</v>
      </c>
      <c r="L27" s="22" t="s">
        <v>9</v>
      </c>
      <c r="M27" s="22" t="s">
        <v>9</v>
      </c>
      <c r="N27" s="22" t="s">
        <v>18</v>
      </c>
      <c r="O27" s="22" t="s">
        <v>18</v>
      </c>
      <c r="P27" s="22" t="s">
        <v>18</v>
      </c>
      <c r="Q27" s="22" t="s">
        <v>18</v>
      </c>
      <c r="R27" s="22" t="s">
        <v>18</v>
      </c>
      <c r="S27" s="22" t="s">
        <v>18</v>
      </c>
      <c r="T27" s="22" t="s">
        <v>18</v>
      </c>
      <c r="U27" s="22" t="s">
        <v>18</v>
      </c>
      <c r="V27" s="22" t="s">
        <v>18</v>
      </c>
      <c r="W27" s="22" t="s">
        <v>18</v>
      </c>
      <c r="X27" s="22" t="s">
        <v>18</v>
      </c>
      <c r="Y27" s="22" t="s">
        <v>18</v>
      </c>
      <c r="Z27" s="22" t="s">
        <v>18</v>
      </c>
      <c r="AA27" s="22" t="s">
        <v>18</v>
      </c>
      <c r="AC27" s="77"/>
    </row>
    <row r="28" spans="1:30" ht="15.6" customHeight="1" x14ac:dyDescent="0.45">
      <c r="A28" s="111"/>
      <c r="B28" s="3" t="s">
        <v>24</v>
      </c>
      <c r="C28" s="37" t="s">
        <v>25</v>
      </c>
      <c r="D28" s="22" t="s">
        <v>9</v>
      </c>
      <c r="E28" s="22" t="s">
        <v>9</v>
      </c>
      <c r="F28" s="22" t="s">
        <v>9</v>
      </c>
      <c r="G28" s="22" t="s">
        <v>9</v>
      </c>
      <c r="H28" s="22" t="s">
        <v>9</v>
      </c>
      <c r="I28" s="22" t="s">
        <v>9</v>
      </c>
      <c r="J28" s="22" t="s">
        <v>9</v>
      </c>
      <c r="K28" s="22" t="s">
        <v>9</v>
      </c>
      <c r="L28" s="22" t="s">
        <v>9</v>
      </c>
      <c r="M28" s="22" t="s">
        <v>9</v>
      </c>
      <c r="N28" s="22" t="s">
        <v>9</v>
      </c>
      <c r="O28" s="22" t="s">
        <v>9</v>
      </c>
      <c r="P28" s="22" t="s">
        <v>9</v>
      </c>
      <c r="Q28" s="22" t="s">
        <v>9</v>
      </c>
      <c r="R28" s="22" t="s">
        <v>9</v>
      </c>
      <c r="S28" s="22" t="s">
        <v>9</v>
      </c>
      <c r="T28" s="22" t="s">
        <v>9</v>
      </c>
      <c r="U28" s="22" t="s">
        <v>9</v>
      </c>
      <c r="V28" s="22" t="s">
        <v>9</v>
      </c>
      <c r="W28" s="22" t="s">
        <v>9</v>
      </c>
      <c r="X28" s="22" t="s">
        <v>9</v>
      </c>
      <c r="Y28" s="22" t="s">
        <v>9</v>
      </c>
      <c r="Z28" s="22" t="s">
        <v>9</v>
      </c>
      <c r="AA28" s="22" t="s">
        <v>9</v>
      </c>
      <c r="AB28" s="79"/>
      <c r="AC28" s="79"/>
      <c r="AD28" s="79"/>
    </row>
    <row r="29" spans="1:30" ht="15.6" customHeight="1" x14ac:dyDescent="0.45">
      <c r="A29" s="111"/>
      <c r="B29" s="40" t="s">
        <v>26</v>
      </c>
      <c r="C29" s="37" t="s">
        <v>27</v>
      </c>
      <c r="D29" s="78">
        <v>205.4</v>
      </c>
      <c r="E29" s="78">
        <v>204.5</v>
      </c>
      <c r="F29" s="78">
        <v>205.7</v>
      </c>
      <c r="G29" s="78">
        <v>214.5</v>
      </c>
      <c r="H29" s="78">
        <v>215.3</v>
      </c>
      <c r="I29" s="78">
        <v>214.6</v>
      </c>
      <c r="J29" s="78">
        <v>213.3</v>
      </c>
      <c r="K29" s="78">
        <v>230.7</v>
      </c>
      <c r="L29" s="22" t="s">
        <v>9</v>
      </c>
      <c r="M29" s="22" t="s">
        <v>9</v>
      </c>
      <c r="N29" s="22" t="s">
        <v>9</v>
      </c>
      <c r="O29" s="22">
        <v>31.8</v>
      </c>
      <c r="P29" s="22">
        <v>31.8</v>
      </c>
      <c r="Q29" s="22">
        <v>31.8</v>
      </c>
      <c r="R29" s="22">
        <v>31.8</v>
      </c>
      <c r="S29" s="22">
        <v>31.8</v>
      </c>
      <c r="T29" s="22" t="s">
        <v>9</v>
      </c>
      <c r="U29" s="22" t="s">
        <v>9</v>
      </c>
      <c r="V29" s="22" t="s">
        <v>9</v>
      </c>
      <c r="W29" s="22" t="s">
        <v>9</v>
      </c>
      <c r="X29" s="22" t="s">
        <v>9</v>
      </c>
      <c r="Y29" s="22" t="s">
        <v>9</v>
      </c>
      <c r="Z29" s="22" t="s">
        <v>9</v>
      </c>
      <c r="AA29" s="22" t="s">
        <v>9</v>
      </c>
      <c r="AC29" s="77"/>
    </row>
    <row r="30" spans="1:30" ht="15.6" customHeight="1" x14ac:dyDescent="0.45">
      <c r="A30" s="112"/>
      <c r="B30" s="19" t="s">
        <v>28</v>
      </c>
      <c r="C30" s="20"/>
      <c r="D30" s="22">
        <v>350.7</v>
      </c>
      <c r="E30" s="22">
        <v>332.7</v>
      </c>
      <c r="F30" s="22">
        <v>335.1</v>
      </c>
      <c r="G30" s="22">
        <v>393.3</v>
      </c>
      <c r="H30" s="22">
        <v>407.3</v>
      </c>
      <c r="I30" s="22">
        <v>428.6</v>
      </c>
      <c r="J30" s="22">
        <v>429.6</v>
      </c>
      <c r="K30" s="22">
        <v>394.8</v>
      </c>
      <c r="L30" s="22" t="s">
        <v>9</v>
      </c>
      <c r="M30" s="22" t="s">
        <v>9</v>
      </c>
      <c r="N30" s="22" t="s">
        <v>9</v>
      </c>
      <c r="O30" s="22">
        <v>1020.83</v>
      </c>
      <c r="P30" s="22">
        <f>P14+P22</f>
        <v>1020.83</v>
      </c>
      <c r="Q30" s="22">
        <f>Q14+Q22</f>
        <v>1020.83</v>
      </c>
      <c r="R30" s="22">
        <f>R14+R22</f>
        <v>1020.83</v>
      </c>
      <c r="S30" s="22">
        <f>S14+S22</f>
        <v>1020.83</v>
      </c>
      <c r="T30" s="22">
        <f>SUM(T14,T22)</f>
        <v>1149.0070000000001</v>
      </c>
      <c r="U30" s="22">
        <f t="shared" ref="U30:AA30" si="2">SUM(U14,U22)</f>
        <v>1149.0070000000001</v>
      </c>
      <c r="V30" s="22">
        <f t="shared" si="2"/>
        <v>1149.0070000000001</v>
      </c>
      <c r="W30" s="22">
        <f t="shared" si="2"/>
        <v>1149.0070000000001</v>
      </c>
      <c r="X30" s="22">
        <f t="shared" si="2"/>
        <v>1149.0070000000001</v>
      </c>
      <c r="Y30" s="22">
        <f t="shared" si="2"/>
        <v>1149.0070000000001</v>
      </c>
      <c r="Z30" s="22">
        <f t="shared" si="2"/>
        <v>832.05</v>
      </c>
      <c r="AA30" s="22">
        <f t="shared" si="2"/>
        <v>832.05</v>
      </c>
      <c r="AC30" s="77"/>
    </row>
    <row r="31" spans="1:30" ht="13.15" customHeight="1" x14ac:dyDescent="0.45">
      <c r="A31" s="54"/>
      <c r="B31" s="54"/>
      <c r="C31" s="54"/>
      <c r="D31" s="88"/>
      <c r="E31" s="88"/>
      <c r="F31" s="88"/>
      <c r="G31" s="88"/>
      <c r="H31" s="88"/>
      <c r="I31" s="88"/>
      <c r="J31" s="88"/>
      <c r="K31" s="88"/>
      <c r="L31" s="64"/>
      <c r="M31" s="64"/>
      <c r="N31" s="64"/>
      <c r="O31" s="89"/>
      <c r="P31" s="61"/>
      <c r="Q31" s="61"/>
      <c r="R31" s="61"/>
      <c r="W31" s="79"/>
      <c r="Y31" s="77"/>
      <c r="Z31" s="79"/>
      <c r="AA31" s="79"/>
      <c r="AC31" s="77"/>
    </row>
    <row r="32" spans="1:30" x14ac:dyDescent="0.45">
      <c r="A32" s="114" t="s">
        <v>31</v>
      </c>
      <c r="B32" s="114"/>
      <c r="C32" s="114"/>
    </row>
    <row r="33" spans="1:9" ht="24.75" customHeight="1" x14ac:dyDescent="0.45">
      <c r="A33" s="115" t="s">
        <v>32</v>
      </c>
      <c r="B33" s="115"/>
      <c r="C33" s="115"/>
    </row>
    <row r="34" spans="1:9" x14ac:dyDescent="0.45">
      <c r="A34" s="116" t="s">
        <v>33</v>
      </c>
      <c r="B34" s="116"/>
      <c r="C34" s="116"/>
    </row>
    <row r="35" spans="1:9" x14ac:dyDescent="0.45">
      <c r="A35" s="117" t="s">
        <v>34</v>
      </c>
      <c r="B35" s="117"/>
      <c r="C35" s="117"/>
    </row>
    <row r="36" spans="1:9" x14ac:dyDescent="0.45">
      <c r="A36" s="104" t="s">
        <v>35</v>
      </c>
      <c r="B36" s="104"/>
      <c r="C36" s="104"/>
    </row>
    <row r="37" spans="1:9" x14ac:dyDescent="0.45">
      <c r="A37" s="104" t="s">
        <v>36</v>
      </c>
      <c r="B37" s="104"/>
      <c r="C37" s="104"/>
    </row>
    <row r="38" spans="1:9" x14ac:dyDescent="0.45">
      <c r="B38" s="90"/>
      <c r="C38" s="90"/>
      <c r="D38" s="90"/>
      <c r="E38" s="90"/>
      <c r="F38" s="90"/>
      <c r="G38" s="90"/>
      <c r="H38" s="90"/>
      <c r="I38" s="90"/>
    </row>
    <row r="39" spans="1:9" x14ac:dyDescent="0.45">
      <c r="B39" s="91"/>
      <c r="C39" s="91"/>
      <c r="D39" s="91"/>
      <c r="E39" s="91"/>
      <c r="F39" s="91"/>
      <c r="G39" s="91"/>
      <c r="H39" s="91"/>
      <c r="I39" s="91"/>
    </row>
    <row r="40" spans="1:9" x14ac:dyDescent="0.45">
      <c r="B40" s="92"/>
      <c r="C40" s="92"/>
      <c r="D40" s="92"/>
      <c r="E40" s="92"/>
      <c r="F40" s="92"/>
      <c r="G40" s="92"/>
      <c r="H40" s="92"/>
      <c r="I40" s="92"/>
    </row>
    <row r="41" spans="1:9" x14ac:dyDescent="0.45">
      <c r="B41" s="93"/>
      <c r="C41" s="93"/>
      <c r="D41" s="93"/>
      <c r="E41" s="93"/>
      <c r="F41" s="93"/>
      <c r="G41" s="93"/>
      <c r="H41" s="93"/>
      <c r="I41" s="93"/>
    </row>
  </sheetData>
  <mergeCells count="12">
    <mergeCell ref="A37:C37"/>
    <mergeCell ref="A1:Z3"/>
    <mergeCell ref="A4:C4"/>
    <mergeCell ref="D6:X6"/>
    <mergeCell ref="A7:A14"/>
    <mergeCell ref="A15:A22"/>
    <mergeCell ref="A23:A30"/>
    <mergeCell ref="A32:C32"/>
    <mergeCell ref="A33:C33"/>
    <mergeCell ref="A34:C34"/>
    <mergeCell ref="A35:C35"/>
    <mergeCell ref="A36:C36"/>
  </mergeCells>
  <dataValidations count="1">
    <dataValidation type="decimal" operator="greaterThanOrEqual" allowBlank="1" showErrorMessage="1" errorTitle="Error!" error="The value you entered is not valid._x000a__x000a_Only 0 and positive values are allowed." sqref="W7:X7 W15:X15" xr:uid="{C99B242C-CF23-4EBE-94C1-5A9A5941C88C}">
      <formula1>0</formula1>
    </dataValidation>
  </dataValidations>
  <hyperlinks>
    <hyperlink ref="A34" r:id="rId1" display="http://www.statistics.gr/el/statistics/-/publication/SOP07/-" xr:uid="{A0269E3F-A84B-4485-B911-0C7C33EE6C2C}"/>
    <hyperlink ref="A34:C34" r:id="rId2" display="http://www.statistics.gr/en/statistics/-/publication/SOP07/-" xr:uid="{F0168099-722D-4957-83AC-CACDCE901AAB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DCD9-E2F2-41DC-943D-52E7A3D34272}">
  <dimension ref="A1:Y27"/>
  <sheetViews>
    <sheetView topLeftCell="I1" workbookViewId="0">
      <selection activeCell="H11" sqref="H11"/>
    </sheetView>
  </sheetViews>
  <sheetFormatPr defaultRowHeight="14.25" x14ac:dyDescent="0.45"/>
  <cols>
    <col min="1" max="1" width="9.86328125" customWidth="1"/>
    <col min="2" max="2" width="14.33203125" bestFit="1" customWidth="1"/>
    <col min="3" max="3" width="14.33203125" customWidth="1"/>
    <col min="4" max="4" width="13.86328125" bestFit="1" customWidth="1"/>
    <col min="5" max="5" width="11" bestFit="1" customWidth="1"/>
    <col min="6" max="6" width="13.73046875" bestFit="1" customWidth="1"/>
    <col min="7" max="7" width="12.33203125" bestFit="1" customWidth="1"/>
    <col min="8" max="8" width="16.46484375" bestFit="1" customWidth="1"/>
    <col min="9" max="9" width="12.3984375" bestFit="1" customWidth="1"/>
    <col min="14" max="14" width="17" customWidth="1"/>
    <col min="15" max="15" width="10.6640625" customWidth="1"/>
    <col min="16" max="16" width="9.796875" customWidth="1"/>
    <col min="20" max="20" width="17.3984375" bestFit="1" customWidth="1"/>
    <col min="24" max="24" width="14.33203125" bestFit="1" customWidth="1"/>
  </cols>
  <sheetData>
    <row r="1" spans="1:25" x14ac:dyDescent="0.4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s="94" t="s">
        <v>58</v>
      </c>
      <c r="M1" t="s">
        <v>41</v>
      </c>
      <c r="N1" t="s">
        <v>59</v>
      </c>
      <c r="O1" t="s">
        <v>43</v>
      </c>
      <c r="P1" t="s">
        <v>60</v>
      </c>
      <c r="S1" s="96" t="s">
        <v>41</v>
      </c>
      <c r="T1" s="97" t="s">
        <v>60</v>
      </c>
      <c r="W1" s="99" t="s">
        <v>41</v>
      </c>
      <c r="X1" s="98" t="s">
        <v>42</v>
      </c>
      <c r="Y1" s="98" t="s">
        <v>43</v>
      </c>
    </row>
    <row r="2" spans="1:25" x14ac:dyDescent="0.4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s="94" t="s">
        <v>49</v>
      </c>
      <c r="P2" s="95" t="e">
        <f xml:space="preserve"> C2 / B2</f>
        <v>#VALUE!</v>
      </c>
      <c r="S2" s="99">
        <v>2000</v>
      </c>
      <c r="T2" s="102">
        <v>5.6033614122768131E-2</v>
      </c>
      <c r="W2" s="101"/>
      <c r="X2" s="100"/>
      <c r="Y2" s="100"/>
    </row>
    <row r="3" spans="1:25" x14ac:dyDescent="0.45">
      <c r="P3" s="95" t="e">
        <f t="shared" ref="P3:P27" si="0" xml:space="preserve"> C3 / B3</f>
        <v>#DIV/0!</v>
      </c>
      <c r="S3" s="101">
        <v>2001</v>
      </c>
      <c r="T3" s="103">
        <v>5.4963831507003492E-2</v>
      </c>
      <c r="W3" s="99">
        <v>2000</v>
      </c>
      <c r="X3" s="98">
        <v>9924.4</v>
      </c>
      <c r="Y3" s="98">
        <v>8844.49</v>
      </c>
    </row>
    <row r="4" spans="1:25" x14ac:dyDescent="0.45">
      <c r="A4">
        <v>2000</v>
      </c>
      <c r="B4">
        <v>9924.4</v>
      </c>
      <c r="C4">
        <v>8844.49</v>
      </c>
      <c r="D4">
        <v>6821.11</v>
      </c>
      <c r="E4">
        <v>182.46</v>
      </c>
      <c r="F4">
        <v>350.7</v>
      </c>
      <c r="M4">
        <v>2000</v>
      </c>
      <c r="P4" s="95">
        <f t="shared" si="0"/>
        <v>0.8911863689492564</v>
      </c>
      <c r="S4" s="99">
        <v>2002</v>
      </c>
      <c r="T4" s="102">
        <v>5.8404881473081698E-2</v>
      </c>
      <c r="W4" s="101">
        <v>2001</v>
      </c>
      <c r="X4" s="100">
        <v>9773.7000000000007</v>
      </c>
      <c r="Y4" s="100">
        <v>8724.49</v>
      </c>
    </row>
    <row r="5" spans="1:25" x14ac:dyDescent="0.45">
      <c r="A5">
        <v>2001</v>
      </c>
      <c r="B5">
        <v>9773.7000000000007</v>
      </c>
      <c r="C5">
        <v>8724.49</v>
      </c>
      <c r="D5">
        <v>6921.11</v>
      </c>
      <c r="E5">
        <v>184.23</v>
      </c>
      <c r="F5">
        <v>332.7</v>
      </c>
      <c r="M5">
        <v>2001</v>
      </c>
      <c r="P5" s="95">
        <f t="shared" si="0"/>
        <v>0.89264966184761141</v>
      </c>
      <c r="S5" s="101">
        <v>2003</v>
      </c>
      <c r="T5" s="103">
        <v>6.4277329497985383E-2</v>
      </c>
      <c r="W5" s="99">
        <v>2002</v>
      </c>
      <c r="X5" s="98">
        <v>9259.5</v>
      </c>
      <c r="Y5" s="98">
        <v>7914.49</v>
      </c>
    </row>
    <row r="6" spans="1:25" x14ac:dyDescent="0.45">
      <c r="A6">
        <v>2002</v>
      </c>
      <c r="B6">
        <v>9259.5</v>
      </c>
      <c r="C6">
        <v>7914.49</v>
      </c>
      <c r="D6">
        <v>6303.7020000000002</v>
      </c>
      <c r="E6">
        <v>185.46</v>
      </c>
      <c r="F6">
        <v>335.1</v>
      </c>
      <c r="M6">
        <v>2002</v>
      </c>
      <c r="P6" s="95">
        <f t="shared" si="0"/>
        <v>0.85474269668988601</v>
      </c>
      <c r="S6" s="99">
        <v>2004</v>
      </c>
      <c r="T6" s="102">
        <v>6.5003550394720361E-2</v>
      </c>
      <c r="W6" s="101">
        <v>2003</v>
      </c>
      <c r="X6" s="100">
        <v>9455.9</v>
      </c>
      <c r="Y6" s="100">
        <v>8344.49</v>
      </c>
    </row>
    <row r="7" spans="1:25" x14ac:dyDescent="0.45">
      <c r="A7">
        <v>2003</v>
      </c>
      <c r="B7">
        <v>9455.9</v>
      </c>
      <c r="C7">
        <v>8344.49</v>
      </c>
      <c r="D7">
        <v>6403.7020000000002</v>
      </c>
      <c r="E7">
        <v>179.23</v>
      </c>
      <c r="F7">
        <v>393.3</v>
      </c>
      <c r="M7">
        <v>2003</v>
      </c>
      <c r="P7" s="95">
        <f t="shared" si="0"/>
        <v>0.8824638585433433</v>
      </c>
      <c r="S7" s="101">
        <v>2005</v>
      </c>
      <c r="T7" s="103">
        <v>6.6625923202021986E-2</v>
      </c>
      <c r="W7" s="99">
        <v>2004</v>
      </c>
      <c r="X7" s="98">
        <v>9576.4</v>
      </c>
      <c r="Y7" s="98">
        <v>8273.49</v>
      </c>
    </row>
    <row r="8" spans="1:25" x14ac:dyDescent="0.45">
      <c r="A8">
        <v>2004</v>
      </c>
      <c r="B8">
        <v>9576.4</v>
      </c>
      <c r="C8">
        <v>8273.49</v>
      </c>
      <c r="D8">
        <v>6165.86</v>
      </c>
      <c r="E8">
        <v>180.54</v>
      </c>
      <c r="F8">
        <v>407.3</v>
      </c>
      <c r="M8">
        <v>2004</v>
      </c>
      <c r="P8" s="95">
        <f t="shared" si="0"/>
        <v>0.86394574161480309</v>
      </c>
      <c r="S8" s="99">
        <v>2006</v>
      </c>
      <c r="T8" s="102">
        <v>6.8061774263546204E-2</v>
      </c>
      <c r="W8" s="101">
        <v>2005</v>
      </c>
      <c r="X8" s="100">
        <v>9653.9</v>
      </c>
      <c r="Y8" s="100">
        <v>8774.49</v>
      </c>
    </row>
    <row r="9" spans="1:25" x14ac:dyDescent="0.45">
      <c r="A9">
        <v>2005</v>
      </c>
      <c r="B9">
        <v>9653.9</v>
      </c>
      <c r="C9">
        <v>8774.49</v>
      </c>
      <c r="D9">
        <v>6905.34</v>
      </c>
      <c r="E9">
        <v>183.45</v>
      </c>
      <c r="F9">
        <v>428.6</v>
      </c>
      <c r="M9">
        <v>2005</v>
      </c>
      <c r="P9" s="95">
        <f t="shared" si="0"/>
        <v>0.9089062451444494</v>
      </c>
      <c r="S9" s="101">
        <v>2007</v>
      </c>
      <c r="T9" s="103">
        <v>6.6050086574601971E-2</v>
      </c>
      <c r="W9" s="99">
        <v>2006</v>
      </c>
      <c r="X9" s="98">
        <v>9447.2999999999993</v>
      </c>
      <c r="Y9" s="98">
        <v>8544.49</v>
      </c>
    </row>
    <row r="10" spans="1:25" x14ac:dyDescent="0.45">
      <c r="A10">
        <v>2006</v>
      </c>
      <c r="B10">
        <v>9447.2999999999993</v>
      </c>
      <c r="C10">
        <v>8544.49</v>
      </c>
      <c r="D10">
        <v>6743.23</v>
      </c>
      <c r="E10">
        <v>183.98</v>
      </c>
      <c r="F10">
        <v>429.6</v>
      </c>
      <c r="M10">
        <v>2006</v>
      </c>
      <c r="P10" s="95">
        <f t="shared" si="0"/>
        <v>0.90443724662072766</v>
      </c>
      <c r="S10" s="99">
        <v>2008</v>
      </c>
      <c r="T10" s="102"/>
      <c r="W10" s="101">
        <v>2007</v>
      </c>
      <c r="X10" s="100">
        <v>9471.6</v>
      </c>
      <c r="Y10" s="100">
        <v>8317.49</v>
      </c>
    </row>
    <row r="11" spans="1:25" x14ac:dyDescent="0.45">
      <c r="A11">
        <v>2007</v>
      </c>
      <c r="B11">
        <v>9471.6</v>
      </c>
      <c r="C11">
        <v>8317.49</v>
      </c>
      <c r="D11">
        <v>6217.94</v>
      </c>
      <c r="E11">
        <v>181.76</v>
      </c>
      <c r="F11">
        <v>394.8</v>
      </c>
      <c r="M11">
        <v>2007</v>
      </c>
      <c r="P11" s="95">
        <f t="shared" si="0"/>
        <v>0.87815047088137166</v>
      </c>
      <c r="S11" s="101">
        <v>2009</v>
      </c>
      <c r="T11" s="103"/>
      <c r="W11" s="99">
        <v>2008</v>
      </c>
      <c r="X11" s="98"/>
      <c r="Y11" s="98"/>
    </row>
    <row r="12" spans="1:25" x14ac:dyDescent="0.45">
      <c r="A12">
        <v>2008</v>
      </c>
      <c r="F12" t="s">
        <v>9</v>
      </c>
      <c r="M12">
        <v>2008</v>
      </c>
      <c r="P12" s="95" t="e">
        <f t="shared" si="0"/>
        <v>#DIV/0!</v>
      </c>
      <c r="S12" s="99">
        <v>2010</v>
      </c>
      <c r="T12" s="102"/>
      <c r="W12" s="101">
        <v>2009</v>
      </c>
      <c r="X12" s="100"/>
      <c r="Y12" s="100"/>
    </row>
    <row r="13" spans="1:25" x14ac:dyDescent="0.45">
      <c r="A13">
        <v>2009</v>
      </c>
      <c r="F13" t="s">
        <v>9</v>
      </c>
      <c r="M13">
        <v>2009</v>
      </c>
      <c r="P13" s="95" t="e">
        <f t="shared" si="0"/>
        <v>#DIV/0!</v>
      </c>
      <c r="S13" s="101">
        <v>2011</v>
      </c>
      <c r="T13" s="103">
        <v>0.96450955071025779</v>
      </c>
      <c r="W13" s="99">
        <v>2010</v>
      </c>
      <c r="X13" s="98"/>
      <c r="Y13" s="98"/>
    </row>
    <row r="14" spans="1:25" x14ac:dyDescent="0.45">
      <c r="A14">
        <v>2010</v>
      </c>
      <c r="F14" t="s">
        <v>9</v>
      </c>
      <c r="M14">
        <v>2010</v>
      </c>
      <c r="P14" s="95" t="e">
        <f t="shared" si="0"/>
        <v>#DIV/0!</v>
      </c>
      <c r="S14" s="99">
        <v>2012</v>
      </c>
      <c r="T14" s="102">
        <v>0.9513857038593917</v>
      </c>
      <c r="W14" s="101">
        <v>2011</v>
      </c>
      <c r="X14" s="100">
        <v>10028.049999999999</v>
      </c>
      <c r="Y14" s="100">
        <v>9672.15</v>
      </c>
    </row>
    <row r="15" spans="1:25" x14ac:dyDescent="0.45">
      <c r="A15">
        <v>2011</v>
      </c>
      <c r="B15">
        <v>10028.049999999999</v>
      </c>
      <c r="C15">
        <v>9672.15</v>
      </c>
      <c r="D15">
        <v>7221.11</v>
      </c>
      <c r="E15">
        <v>189.49</v>
      </c>
      <c r="F15">
        <v>1020.83</v>
      </c>
      <c r="M15">
        <v>2011</v>
      </c>
      <c r="P15" s="95">
        <f t="shared" si="0"/>
        <v>0.96450955071025779</v>
      </c>
      <c r="S15" s="101">
        <v>2013</v>
      </c>
      <c r="T15" s="103">
        <v>0.92084922641217781</v>
      </c>
      <c r="W15" s="99">
        <v>2012</v>
      </c>
      <c r="X15" s="98">
        <v>10029.56</v>
      </c>
      <c r="Y15" s="98">
        <v>9541.98</v>
      </c>
    </row>
    <row r="16" spans="1:25" x14ac:dyDescent="0.45">
      <c r="A16">
        <v>2012</v>
      </c>
      <c r="B16">
        <v>10029.56</v>
      </c>
      <c r="C16">
        <v>9541.98</v>
      </c>
      <c r="D16">
        <v>7221.11</v>
      </c>
      <c r="E16">
        <v>189.49</v>
      </c>
      <c r="F16">
        <v>1020.83</v>
      </c>
      <c r="M16">
        <v>2012</v>
      </c>
      <c r="P16" s="95">
        <f t="shared" si="0"/>
        <v>0.9513857038593917</v>
      </c>
      <c r="S16" s="99">
        <v>2014</v>
      </c>
      <c r="T16" s="102">
        <v>0.94510176903180299</v>
      </c>
      <c r="W16" s="101">
        <v>2013</v>
      </c>
      <c r="X16" s="100">
        <v>10027.950000000001</v>
      </c>
      <c r="Y16" s="100">
        <v>9234.23</v>
      </c>
    </row>
    <row r="17" spans="1:25" x14ac:dyDescent="0.45">
      <c r="A17">
        <v>2013</v>
      </c>
      <c r="B17">
        <v>10027.950000000001</v>
      </c>
      <c r="C17">
        <v>9234.23</v>
      </c>
      <c r="D17">
        <v>7221.11</v>
      </c>
      <c r="E17">
        <v>189.49</v>
      </c>
      <c r="F17">
        <v>1020.83</v>
      </c>
      <c r="M17">
        <v>2013</v>
      </c>
      <c r="P17" s="95">
        <f t="shared" si="0"/>
        <v>0.92084922641217781</v>
      </c>
      <c r="S17" s="101">
        <v>2015</v>
      </c>
      <c r="T17" s="103">
        <v>0.95251725560264022</v>
      </c>
      <c r="W17" s="99">
        <v>2014</v>
      </c>
      <c r="X17" s="98">
        <v>10009.43</v>
      </c>
      <c r="Y17" s="98">
        <v>9459.93</v>
      </c>
    </row>
    <row r="18" spans="1:25" x14ac:dyDescent="0.45">
      <c r="A18">
        <v>2014</v>
      </c>
      <c r="B18">
        <v>10009.43</v>
      </c>
      <c r="C18">
        <v>9459.93</v>
      </c>
      <c r="D18">
        <v>7221.11</v>
      </c>
      <c r="E18">
        <v>189.49</v>
      </c>
      <c r="F18">
        <v>1020.83</v>
      </c>
      <c r="M18">
        <v>2014</v>
      </c>
      <c r="P18" s="95">
        <f t="shared" si="0"/>
        <v>0.94510176903180299</v>
      </c>
      <c r="S18" s="99">
        <v>2016</v>
      </c>
      <c r="T18" s="102">
        <v>0.87261546172356663</v>
      </c>
      <c r="W18" s="101">
        <v>2015</v>
      </c>
      <c r="X18" s="100">
        <v>10012.69</v>
      </c>
      <c r="Y18" s="100">
        <v>9537.26</v>
      </c>
    </row>
    <row r="19" spans="1:25" x14ac:dyDescent="0.45">
      <c r="A19">
        <v>2015</v>
      </c>
      <c r="B19">
        <v>10012.69</v>
      </c>
      <c r="C19">
        <v>9537.26</v>
      </c>
      <c r="D19">
        <v>7221.11</v>
      </c>
      <c r="E19">
        <v>189.49</v>
      </c>
      <c r="F19">
        <v>1020.83</v>
      </c>
      <c r="M19">
        <v>2015</v>
      </c>
      <c r="P19" s="95">
        <f t="shared" si="0"/>
        <v>0.95251725560264022</v>
      </c>
      <c r="S19" s="101">
        <v>2017</v>
      </c>
      <c r="T19" s="103">
        <v>0.89083746797870111</v>
      </c>
      <c r="W19" s="99">
        <v>2016</v>
      </c>
      <c r="X19" s="98">
        <v>10135.61</v>
      </c>
      <c r="Y19" s="98">
        <v>8844.49</v>
      </c>
    </row>
    <row r="20" spans="1:25" x14ac:dyDescent="0.45">
      <c r="A20">
        <v>2016</v>
      </c>
      <c r="B20">
        <v>10135.61</v>
      </c>
      <c r="C20">
        <v>8844.49</v>
      </c>
      <c r="D20">
        <v>6603.7020000000002</v>
      </c>
      <c r="E20">
        <v>185.46</v>
      </c>
      <c r="F20">
        <v>1149.0070000000001</v>
      </c>
      <c r="M20">
        <v>2016</v>
      </c>
      <c r="P20" s="95">
        <f t="shared" si="0"/>
        <v>0.87261546172356663</v>
      </c>
      <c r="S20" s="99">
        <v>2018</v>
      </c>
      <c r="T20" s="102">
        <v>0.88177457180734931</v>
      </c>
      <c r="W20" s="101">
        <v>2017</v>
      </c>
      <c r="X20" s="100">
        <v>10133.879999999999</v>
      </c>
      <c r="Y20" s="100">
        <v>9027.64</v>
      </c>
    </row>
    <row r="21" spans="1:25" x14ac:dyDescent="0.45">
      <c r="A21">
        <v>2017</v>
      </c>
      <c r="B21">
        <v>10133.879999999999</v>
      </c>
      <c r="C21">
        <v>9027.64</v>
      </c>
      <c r="D21">
        <v>6603.7020000000002</v>
      </c>
      <c r="E21">
        <v>185.46</v>
      </c>
      <c r="F21">
        <v>1149.0070000000001</v>
      </c>
      <c r="M21">
        <v>2017</v>
      </c>
      <c r="P21" s="95">
        <f t="shared" si="0"/>
        <v>0.89083746797870111</v>
      </c>
      <c r="S21" s="101">
        <v>2019</v>
      </c>
      <c r="T21" s="103">
        <v>0.88698998834428555</v>
      </c>
      <c r="W21" s="99">
        <v>2018</v>
      </c>
      <c r="X21" s="98">
        <v>10122.780000000001</v>
      </c>
      <c r="Y21" s="98">
        <v>8926.01</v>
      </c>
    </row>
    <row r="22" spans="1:25" x14ac:dyDescent="0.45">
      <c r="A22">
        <v>2018</v>
      </c>
      <c r="B22">
        <v>10122.780000000001</v>
      </c>
      <c r="C22">
        <v>8926.01</v>
      </c>
      <c r="D22">
        <v>6603.7020000000002</v>
      </c>
      <c r="E22">
        <v>185.46</v>
      </c>
      <c r="F22">
        <v>1149.0070000000001</v>
      </c>
      <c r="M22">
        <v>2018</v>
      </c>
      <c r="P22" s="95">
        <f t="shared" si="0"/>
        <v>0.88177457180734931</v>
      </c>
      <c r="S22" s="99">
        <v>2020</v>
      </c>
      <c r="T22" s="102">
        <v>0.89552641354346141</v>
      </c>
      <c r="W22" s="101">
        <v>2019</v>
      </c>
      <c r="X22" s="100">
        <v>10115.209999999999</v>
      </c>
      <c r="Y22" s="100">
        <v>8972.09</v>
      </c>
    </row>
    <row r="23" spans="1:25" x14ac:dyDescent="0.45">
      <c r="A23">
        <v>2019</v>
      </c>
      <c r="B23">
        <v>10115.209999999999</v>
      </c>
      <c r="C23">
        <v>8972.09</v>
      </c>
      <c r="D23">
        <v>6603.7020000000002</v>
      </c>
      <c r="E23">
        <v>185.46</v>
      </c>
      <c r="F23">
        <v>1149.0070000000001</v>
      </c>
      <c r="M23">
        <v>2019</v>
      </c>
      <c r="P23" s="95">
        <f t="shared" si="0"/>
        <v>0.88698998834428555</v>
      </c>
      <c r="S23" s="101">
        <v>2021</v>
      </c>
      <c r="T23" s="103">
        <v>0.91081467705463603</v>
      </c>
      <c r="W23" s="99">
        <v>2020</v>
      </c>
      <c r="X23" s="98">
        <v>10122.08</v>
      </c>
      <c r="Y23" s="98">
        <v>9064.59</v>
      </c>
    </row>
    <row r="24" spans="1:25" x14ac:dyDescent="0.45">
      <c r="A24">
        <v>2020</v>
      </c>
      <c r="B24">
        <v>10122.08</v>
      </c>
      <c r="C24">
        <v>9064.59</v>
      </c>
      <c r="D24">
        <v>6603.7020000000002</v>
      </c>
      <c r="E24">
        <v>185.46</v>
      </c>
      <c r="F24">
        <v>1149.0070000000001</v>
      </c>
      <c r="M24">
        <v>2020</v>
      </c>
      <c r="P24" s="95">
        <f t="shared" si="0"/>
        <v>0.89552641354346141</v>
      </c>
      <c r="S24" s="99">
        <v>2022</v>
      </c>
      <c r="T24" s="102">
        <v>0.91943793697736309</v>
      </c>
      <c r="W24" s="101">
        <v>2021</v>
      </c>
      <c r="X24" s="100">
        <v>10087.31</v>
      </c>
      <c r="Y24" s="100">
        <v>9187.67</v>
      </c>
    </row>
    <row r="25" spans="1:25" x14ac:dyDescent="0.45">
      <c r="A25">
        <v>2021</v>
      </c>
      <c r="B25">
        <v>10087.31</v>
      </c>
      <c r="C25">
        <v>9187.67</v>
      </c>
      <c r="D25">
        <v>6603.7020000000002</v>
      </c>
      <c r="E25">
        <v>185.46</v>
      </c>
      <c r="F25">
        <v>1149.0070000000001</v>
      </c>
      <c r="M25">
        <v>2021</v>
      </c>
      <c r="P25" s="95">
        <f t="shared" si="0"/>
        <v>0.91081467705463603</v>
      </c>
      <c r="S25" s="101">
        <v>2023</v>
      </c>
      <c r="T25" s="103">
        <v>0.92558409522973206</v>
      </c>
      <c r="W25" s="99">
        <v>2022</v>
      </c>
      <c r="X25" s="98">
        <v>8784.7800000000007</v>
      </c>
      <c r="Y25" s="98">
        <v>8077.06</v>
      </c>
    </row>
    <row r="26" spans="1:25" x14ac:dyDescent="0.45">
      <c r="A26">
        <v>2022</v>
      </c>
      <c r="B26">
        <v>8784.7800000000007</v>
      </c>
      <c r="C26">
        <v>8077.06</v>
      </c>
      <c r="D26">
        <v>5926.26</v>
      </c>
      <c r="E26">
        <v>192.10000000000002</v>
      </c>
      <c r="F26">
        <v>832.05</v>
      </c>
      <c r="M26">
        <v>2022</v>
      </c>
      <c r="P26" s="95">
        <f t="shared" si="0"/>
        <v>0.91943793697736309</v>
      </c>
      <c r="W26" s="101">
        <v>2023</v>
      </c>
      <c r="X26" s="100">
        <v>8768.69</v>
      </c>
      <c r="Y26" s="100">
        <v>8116.16</v>
      </c>
    </row>
    <row r="27" spans="1:25" x14ac:dyDescent="0.45">
      <c r="A27">
        <v>2023</v>
      </c>
      <c r="B27">
        <v>8768.69</v>
      </c>
      <c r="C27">
        <v>8116.16</v>
      </c>
      <c r="D27">
        <v>5926.26</v>
      </c>
      <c r="E27">
        <v>192.10000000000002</v>
      </c>
      <c r="F27">
        <v>832.05</v>
      </c>
      <c r="M27">
        <v>2023</v>
      </c>
      <c r="P27" s="95">
        <f t="shared" si="0"/>
        <v>0.92558409522973206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0EF3-1F88-41BF-976E-C8D2477829AE}">
  <dimension ref="A1:T73"/>
  <sheetViews>
    <sheetView topLeftCell="A40" workbookViewId="0">
      <selection activeCell="Q78" sqref="Q78"/>
    </sheetView>
  </sheetViews>
  <sheetFormatPr defaultRowHeight="14.25" x14ac:dyDescent="0.45"/>
  <cols>
    <col min="1" max="1" width="9.86328125" customWidth="1"/>
    <col min="2" max="2" width="14.33203125" bestFit="1" customWidth="1"/>
    <col min="3" max="3" width="11" bestFit="1" customWidth="1"/>
    <col min="4" max="4" width="13.73046875" bestFit="1" customWidth="1"/>
  </cols>
  <sheetData>
    <row r="1" spans="1:3" x14ac:dyDescent="0.45">
      <c r="A1" s="99" t="s">
        <v>41</v>
      </c>
      <c r="B1" s="98" t="s">
        <v>42</v>
      </c>
      <c r="C1" s="98" t="s">
        <v>43</v>
      </c>
    </row>
    <row r="2" spans="1:3" x14ac:dyDescent="0.45">
      <c r="A2" s="101"/>
      <c r="B2" s="100"/>
      <c r="C2" s="100"/>
    </row>
    <row r="3" spans="1:3" x14ac:dyDescent="0.45">
      <c r="A3" s="99">
        <v>2000</v>
      </c>
      <c r="B3" s="98">
        <v>9924.4</v>
      </c>
      <c r="C3" s="98">
        <v>8844.49</v>
      </c>
    </row>
    <row r="4" spans="1:3" x14ac:dyDescent="0.45">
      <c r="A4" s="101">
        <v>2001</v>
      </c>
      <c r="B4" s="100">
        <v>9773.7000000000007</v>
      </c>
      <c r="C4" s="100">
        <v>8724.49</v>
      </c>
    </row>
    <row r="5" spans="1:3" x14ac:dyDescent="0.45">
      <c r="A5" s="99">
        <v>2002</v>
      </c>
      <c r="B5" s="98">
        <v>9259.5</v>
      </c>
      <c r="C5" s="98">
        <v>7914.49</v>
      </c>
    </row>
    <row r="6" spans="1:3" x14ac:dyDescent="0.45">
      <c r="A6" s="101">
        <v>2003</v>
      </c>
      <c r="B6" s="100">
        <v>9455.9</v>
      </c>
      <c r="C6" s="100">
        <v>8344.49</v>
      </c>
    </row>
    <row r="7" spans="1:3" x14ac:dyDescent="0.45">
      <c r="A7" s="99">
        <v>2004</v>
      </c>
      <c r="B7" s="98">
        <v>9576.4</v>
      </c>
      <c r="C7" s="98">
        <v>8273.49</v>
      </c>
    </row>
    <row r="8" spans="1:3" x14ac:dyDescent="0.45">
      <c r="A8" s="101">
        <v>2005</v>
      </c>
      <c r="B8" s="100">
        <v>9653.9</v>
      </c>
      <c r="C8" s="100">
        <v>8774.49</v>
      </c>
    </row>
    <row r="9" spans="1:3" x14ac:dyDescent="0.45">
      <c r="A9" s="99">
        <v>2006</v>
      </c>
      <c r="B9" s="98">
        <v>9447.2999999999993</v>
      </c>
      <c r="C9" s="98">
        <v>8544.49</v>
      </c>
    </row>
    <row r="10" spans="1:3" x14ac:dyDescent="0.45">
      <c r="A10" s="101">
        <v>2007</v>
      </c>
      <c r="B10" s="100">
        <v>9471.6</v>
      </c>
      <c r="C10" s="100">
        <v>8317.49</v>
      </c>
    </row>
    <row r="11" spans="1:3" x14ac:dyDescent="0.45">
      <c r="A11" s="99">
        <v>2008</v>
      </c>
      <c r="B11" s="98"/>
      <c r="C11" s="98"/>
    </row>
    <row r="12" spans="1:3" x14ac:dyDescent="0.45">
      <c r="A12" s="101">
        <v>2009</v>
      </c>
      <c r="B12" s="100"/>
      <c r="C12" s="100"/>
    </row>
    <row r="13" spans="1:3" x14ac:dyDescent="0.45">
      <c r="A13" s="99">
        <v>2010</v>
      </c>
      <c r="B13" s="98"/>
      <c r="C13" s="98"/>
    </row>
    <row r="14" spans="1:3" x14ac:dyDescent="0.45">
      <c r="A14" s="101">
        <v>2011</v>
      </c>
      <c r="B14" s="100">
        <v>10028.049999999999</v>
      </c>
      <c r="C14" s="100">
        <v>9672.15</v>
      </c>
    </row>
    <row r="15" spans="1:3" x14ac:dyDescent="0.45">
      <c r="A15" s="99">
        <v>2012</v>
      </c>
      <c r="B15" s="98">
        <v>10029.56</v>
      </c>
      <c r="C15" s="98">
        <v>9541.98</v>
      </c>
    </row>
    <row r="16" spans="1:3" x14ac:dyDescent="0.45">
      <c r="A16" s="101">
        <v>2013</v>
      </c>
      <c r="B16" s="100">
        <v>10027.950000000001</v>
      </c>
      <c r="C16" s="100">
        <v>9234.23</v>
      </c>
    </row>
    <row r="17" spans="1:20" x14ac:dyDescent="0.45">
      <c r="A17" s="99">
        <v>2014</v>
      </c>
      <c r="B17" s="98">
        <v>10009.43</v>
      </c>
      <c r="C17" s="98">
        <v>9459.93</v>
      </c>
    </row>
    <row r="18" spans="1:20" x14ac:dyDescent="0.45">
      <c r="A18" s="101">
        <v>2015</v>
      </c>
      <c r="B18" s="100">
        <v>10012.69</v>
      </c>
      <c r="C18" s="100">
        <v>9537.26</v>
      </c>
    </row>
    <row r="19" spans="1:20" x14ac:dyDescent="0.45">
      <c r="A19" s="99">
        <v>2016</v>
      </c>
      <c r="B19" s="98">
        <v>10135.61</v>
      </c>
      <c r="C19" s="98">
        <v>8844.49</v>
      </c>
    </row>
    <row r="20" spans="1:20" x14ac:dyDescent="0.45">
      <c r="A20" s="101">
        <v>2017</v>
      </c>
      <c r="B20" s="100">
        <v>10133.879999999999</v>
      </c>
      <c r="C20" s="100">
        <v>9027.64</v>
      </c>
    </row>
    <row r="21" spans="1:20" x14ac:dyDescent="0.45">
      <c r="A21" s="99">
        <v>2018</v>
      </c>
      <c r="B21" s="98">
        <v>10122.780000000001</v>
      </c>
      <c r="C21" s="98">
        <v>8926.01</v>
      </c>
    </row>
    <row r="22" spans="1:20" x14ac:dyDescent="0.45">
      <c r="A22" s="101">
        <v>2019</v>
      </c>
      <c r="B22" s="100">
        <v>10115.209999999999</v>
      </c>
      <c r="C22" s="100">
        <v>8972.09</v>
      </c>
    </row>
    <row r="23" spans="1:20" x14ac:dyDescent="0.45">
      <c r="A23" s="99">
        <v>2020</v>
      </c>
      <c r="B23" s="98">
        <v>10122.08</v>
      </c>
      <c r="C23" s="98">
        <v>9064.59</v>
      </c>
    </row>
    <row r="24" spans="1:20" x14ac:dyDescent="0.45">
      <c r="A24" s="101">
        <v>2021</v>
      </c>
      <c r="B24" s="100">
        <v>10087.31</v>
      </c>
      <c r="C24" s="100">
        <v>9187.67</v>
      </c>
    </row>
    <row r="25" spans="1:20" x14ac:dyDescent="0.45">
      <c r="A25" s="99">
        <v>2022</v>
      </c>
      <c r="B25" s="98">
        <v>8784.7800000000007</v>
      </c>
      <c r="C25" s="98">
        <v>8077.06</v>
      </c>
    </row>
    <row r="26" spans="1:20" x14ac:dyDescent="0.45">
      <c r="A26" s="101">
        <v>2023</v>
      </c>
      <c r="B26" s="100">
        <v>8768.69</v>
      </c>
      <c r="C26" s="100">
        <v>8116.16</v>
      </c>
    </row>
    <row r="28" spans="1:20" x14ac:dyDescent="0.45">
      <c r="E28" s="122" t="s">
        <v>61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</row>
    <row r="34" spans="1:4" x14ac:dyDescent="0.45">
      <c r="A34" s="99" t="s">
        <v>41</v>
      </c>
      <c r="B34" s="98" t="s">
        <v>44</v>
      </c>
      <c r="C34" s="98" t="s">
        <v>45</v>
      </c>
      <c r="D34" s="98" t="s">
        <v>46</v>
      </c>
    </row>
    <row r="35" spans="1:4" x14ac:dyDescent="0.45">
      <c r="A35" s="101"/>
      <c r="B35" s="100"/>
      <c r="C35" s="100"/>
      <c r="D35" s="100"/>
    </row>
    <row r="36" spans="1:4" x14ac:dyDescent="0.45">
      <c r="A36" s="99">
        <v>2000</v>
      </c>
      <c r="B36" s="98">
        <v>6821.11</v>
      </c>
      <c r="C36" s="98">
        <v>182.46</v>
      </c>
      <c r="D36" s="98">
        <v>350.7</v>
      </c>
    </row>
    <row r="37" spans="1:4" x14ac:dyDescent="0.45">
      <c r="A37" s="101">
        <v>2001</v>
      </c>
      <c r="B37" s="100">
        <v>6921.11</v>
      </c>
      <c r="C37" s="100">
        <v>184.23</v>
      </c>
      <c r="D37" s="100">
        <v>332.7</v>
      </c>
    </row>
    <row r="38" spans="1:4" x14ac:dyDescent="0.45">
      <c r="A38" s="99">
        <v>2002</v>
      </c>
      <c r="B38" s="98">
        <v>6303.7020000000002</v>
      </c>
      <c r="C38" s="98">
        <v>185.46</v>
      </c>
      <c r="D38" s="98">
        <v>335.1</v>
      </c>
    </row>
    <row r="39" spans="1:4" x14ac:dyDescent="0.45">
      <c r="A39" s="101">
        <v>2003</v>
      </c>
      <c r="B39" s="100">
        <v>6403.7020000000002</v>
      </c>
      <c r="C39" s="100">
        <v>179.23</v>
      </c>
      <c r="D39" s="100">
        <v>393.3</v>
      </c>
    </row>
    <row r="40" spans="1:4" x14ac:dyDescent="0.45">
      <c r="A40" s="99">
        <v>2004</v>
      </c>
      <c r="B40" s="98">
        <v>6165.86</v>
      </c>
      <c r="C40" s="98">
        <v>180.54</v>
      </c>
      <c r="D40" s="98">
        <v>407.3</v>
      </c>
    </row>
    <row r="41" spans="1:4" x14ac:dyDescent="0.45">
      <c r="A41" s="101">
        <v>2005</v>
      </c>
      <c r="B41" s="100">
        <v>6905.34</v>
      </c>
      <c r="C41" s="100">
        <v>183.45</v>
      </c>
      <c r="D41" s="100">
        <v>428.6</v>
      </c>
    </row>
    <row r="42" spans="1:4" x14ac:dyDescent="0.45">
      <c r="A42" s="99">
        <v>2006</v>
      </c>
      <c r="B42" s="98">
        <v>6743.23</v>
      </c>
      <c r="C42" s="98">
        <v>183.98</v>
      </c>
      <c r="D42" s="98">
        <v>429.6</v>
      </c>
    </row>
    <row r="43" spans="1:4" x14ac:dyDescent="0.45">
      <c r="A43" s="101">
        <v>2007</v>
      </c>
      <c r="B43" s="100">
        <v>6217.94</v>
      </c>
      <c r="C43" s="100">
        <v>181.76</v>
      </c>
      <c r="D43" s="100">
        <v>394.8</v>
      </c>
    </row>
    <row r="44" spans="1:4" x14ac:dyDescent="0.45">
      <c r="A44" s="99">
        <v>2008</v>
      </c>
      <c r="B44" s="98"/>
      <c r="C44" s="98"/>
      <c r="D44" s="98" t="s">
        <v>9</v>
      </c>
    </row>
    <row r="45" spans="1:4" x14ac:dyDescent="0.45">
      <c r="A45" s="101">
        <v>2009</v>
      </c>
      <c r="B45" s="100"/>
      <c r="C45" s="100"/>
      <c r="D45" s="100" t="s">
        <v>9</v>
      </c>
    </row>
    <row r="46" spans="1:4" x14ac:dyDescent="0.45">
      <c r="A46" s="99">
        <v>2010</v>
      </c>
      <c r="B46" s="98"/>
      <c r="C46" s="98"/>
      <c r="D46" s="98" t="s">
        <v>9</v>
      </c>
    </row>
    <row r="47" spans="1:4" x14ac:dyDescent="0.45">
      <c r="A47" s="101">
        <v>2011</v>
      </c>
      <c r="B47" s="100">
        <v>7221.11</v>
      </c>
      <c r="C47" s="100">
        <v>189.49</v>
      </c>
      <c r="D47" s="100">
        <v>1020.83</v>
      </c>
    </row>
    <row r="48" spans="1:4" x14ac:dyDescent="0.45">
      <c r="A48" s="99">
        <v>2012</v>
      </c>
      <c r="B48" s="98">
        <v>7221.11</v>
      </c>
      <c r="C48" s="98">
        <v>189.49</v>
      </c>
      <c r="D48" s="98">
        <v>1020.83</v>
      </c>
    </row>
    <row r="49" spans="1:4" x14ac:dyDescent="0.45">
      <c r="A49" s="101">
        <v>2013</v>
      </c>
      <c r="B49" s="100">
        <v>7221.11</v>
      </c>
      <c r="C49" s="100">
        <v>189.49</v>
      </c>
      <c r="D49" s="100">
        <v>1020.83</v>
      </c>
    </row>
    <row r="50" spans="1:4" x14ac:dyDescent="0.45">
      <c r="A50" s="99">
        <v>2014</v>
      </c>
      <c r="B50" s="98">
        <v>7221.11</v>
      </c>
      <c r="C50" s="98">
        <v>189.49</v>
      </c>
      <c r="D50" s="98">
        <v>1020.83</v>
      </c>
    </row>
    <row r="51" spans="1:4" x14ac:dyDescent="0.45">
      <c r="A51" s="101">
        <v>2015</v>
      </c>
      <c r="B51" s="100">
        <v>7221.11</v>
      </c>
      <c r="C51" s="100">
        <v>189.49</v>
      </c>
      <c r="D51" s="100">
        <v>1020.83</v>
      </c>
    </row>
    <row r="52" spans="1:4" x14ac:dyDescent="0.45">
      <c r="A52" s="99">
        <v>2016</v>
      </c>
      <c r="B52" s="98">
        <v>6603.7020000000002</v>
      </c>
      <c r="C52" s="98">
        <v>185.46</v>
      </c>
      <c r="D52" s="98">
        <v>1149.0070000000001</v>
      </c>
    </row>
    <row r="53" spans="1:4" x14ac:dyDescent="0.45">
      <c r="A53" s="101">
        <v>2017</v>
      </c>
      <c r="B53" s="100">
        <v>6603.7020000000002</v>
      </c>
      <c r="C53" s="100">
        <v>185.46</v>
      </c>
      <c r="D53" s="100">
        <v>1149.0070000000001</v>
      </c>
    </row>
    <row r="54" spans="1:4" x14ac:dyDescent="0.45">
      <c r="A54" s="99">
        <v>2018</v>
      </c>
      <c r="B54" s="98">
        <v>6603.7020000000002</v>
      </c>
      <c r="C54" s="98">
        <v>185.46</v>
      </c>
      <c r="D54" s="98">
        <v>1149.0070000000001</v>
      </c>
    </row>
    <row r="55" spans="1:4" x14ac:dyDescent="0.45">
      <c r="A55" s="101">
        <v>2019</v>
      </c>
      <c r="B55" s="100">
        <v>6603.7020000000002</v>
      </c>
      <c r="C55" s="100">
        <v>185.46</v>
      </c>
      <c r="D55" s="100">
        <v>1149.0070000000001</v>
      </c>
    </row>
    <row r="56" spans="1:4" x14ac:dyDescent="0.45">
      <c r="A56" s="99">
        <v>2020</v>
      </c>
      <c r="B56" s="98">
        <v>6603.7020000000002</v>
      </c>
      <c r="C56" s="98">
        <v>185.46</v>
      </c>
      <c r="D56" s="98">
        <v>1149.0070000000001</v>
      </c>
    </row>
    <row r="57" spans="1:4" x14ac:dyDescent="0.45">
      <c r="A57" s="101">
        <v>2021</v>
      </c>
      <c r="B57" s="100">
        <v>6603.7020000000002</v>
      </c>
      <c r="C57" s="100">
        <v>185.46</v>
      </c>
      <c r="D57" s="100">
        <v>1149.0070000000001</v>
      </c>
    </row>
    <row r="58" spans="1:4" x14ac:dyDescent="0.45">
      <c r="A58" s="99">
        <v>2022</v>
      </c>
      <c r="B58" s="98">
        <v>5926.26</v>
      </c>
      <c r="C58" s="98">
        <v>192.10000000000002</v>
      </c>
      <c r="D58" s="98">
        <v>832.05</v>
      </c>
    </row>
    <row r="59" spans="1:4" x14ac:dyDescent="0.45">
      <c r="A59" s="101">
        <v>2023</v>
      </c>
      <c r="B59" s="100">
        <v>5926.26</v>
      </c>
      <c r="C59" s="100">
        <v>192.10000000000002</v>
      </c>
      <c r="D59" s="100">
        <v>832.05</v>
      </c>
    </row>
    <row r="69" spans="1:2" x14ac:dyDescent="0.45">
      <c r="A69" t="s">
        <v>50</v>
      </c>
      <c r="B69" t="s">
        <v>51</v>
      </c>
    </row>
    <row r="70" spans="1:2" x14ac:dyDescent="0.45">
      <c r="A70" t="s">
        <v>62</v>
      </c>
      <c r="B70" t="s">
        <v>63</v>
      </c>
    </row>
    <row r="71" spans="1:2" x14ac:dyDescent="0.45">
      <c r="A71" t="s">
        <v>64</v>
      </c>
      <c r="B71">
        <v>5926.26</v>
      </c>
    </row>
    <row r="72" spans="1:2" x14ac:dyDescent="0.45">
      <c r="A72" t="s">
        <v>65</v>
      </c>
      <c r="B72">
        <v>192.1</v>
      </c>
    </row>
    <row r="73" spans="1:2" x14ac:dyDescent="0.45">
      <c r="A73" t="s">
        <v>66</v>
      </c>
      <c r="B73">
        <v>832.05</v>
      </c>
    </row>
  </sheetData>
  <mergeCells count="1">
    <mergeCell ref="E28:T28"/>
  </mergeCells>
  <phoneticPr fontId="30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FCD6-9229-46F0-83EB-051AF69D4840}">
  <dimension ref="A1"/>
  <sheetViews>
    <sheetView workbookViewId="0">
      <selection activeCell="F30" sqref="F30"/>
    </sheetView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28A0-1A8A-4BDA-978D-F07F6635F7BE}">
  <dimension ref="A1"/>
  <sheetViews>
    <sheetView tabSelected="1" topLeftCell="C1" workbookViewId="0">
      <selection activeCell="P27" sqref="P27"/>
    </sheetView>
  </sheetViews>
  <sheetFormatPr defaultRowHeight="14.25" x14ac:dyDescent="0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FE446-AC8B-4FA9-BE31-688F93DD12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Raw_Abstraction</vt:lpstr>
      <vt:lpstr>Raw_Use</vt:lpstr>
      <vt:lpstr>Clean_Data</vt:lpstr>
      <vt:lpstr>Charts</vt:lpstr>
      <vt:lpstr>KPIs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Βασιλειος Ποσνακιδης</dc:creator>
  <cp:lastModifiedBy>Βασιλειος Ποσνακιδης</cp:lastModifiedBy>
  <cp:lastPrinted>2026-02-11T15:15:03Z</cp:lastPrinted>
  <dcterms:created xsi:type="dcterms:W3CDTF">2026-02-11T13:52:48Z</dcterms:created>
  <dcterms:modified xsi:type="dcterms:W3CDTF">2026-02-18T08:56:18Z</dcterms:modified>
</cp:coreProperties>
</file>